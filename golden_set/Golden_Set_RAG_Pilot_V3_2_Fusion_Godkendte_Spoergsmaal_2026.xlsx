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egionh-my.sharepoint.com/personal/michael_friis_regionh_dk2/Documents/_Dokumenter/RAG/Pilot-Quickguides/"/>
    </mc:Choice>
  </mc:AlternateContent>
  <xr:revisionPtr revIDLastSave="9" documentId="11_939434270BCE6AEF03023EAD9DBCCDFA8A0DAFEB" xr6:coauthVersionLast="47" xr6:coauthVersionMax="47" xr10:uidLastSave="{C079DA5B-9DD3-4DD1-A4F2-7D5FD9D19568}"/>
  <bookViews>
    <workbookView xWindow="28680" yWindow="-120" windowWidth="29040" windowHeight="15720" activeTab="2" xr2:uid="{00000000-000D-0000-FFFF-FFFF00000000}"/>
  </bookViews>
  <sheets>
    <sheet name="01 Overblik" sheetId="1" r:id="rId1"/>
    <sheet name="02 Dokumentkortlægning" sheetId="2" r:id="rId2"/>
    <sheet name="03 Testspørgsmål" sheetId="3" r:id="rId3"/>
    <sheet name="04 Gold Standard" sheetId="4" r:id="rId4"/>
    <sheet name="05 Gold Evidence" sheetId="5" r:id="rId5"/>
    <sheet name="06 Gold Claims" sheetId="6" r:id="rId6"/>
    <sheet name="07 Testresultater" sheetId="7" r:id="rId7"/>
    <sheet name="08 Retrieval-resultater" sheetId="8" r:id="rId8"/>
    <sheet name="09 Kildeproblemer" sheetId="9" r:id="rId9"/>
    <sheet name="10 Metode og scoring" sheetId="10" r:id="rId10"/>
    <sheet name="11 Kategorier" sheetId="11" r:id="rId11"/>
    <sheet name="12 Ændringslog" sheetId="12" r:id="rId12"/>
    <sheet name="13 QA-kontrol" sheetId="13" r:id="rId13"/>
    <sheet name="14 Teknisk testspor" sheetId="14" r:id="rId14"/>
    <sheet name="15 Historik fra V2" sheetId="15" r:id="rId15"/>
    <sheet name="16 Evalueringsdashboard"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6" l="1"/>
  <c r="B9" i="16"/>
  <c r="B8" i="16"/>
  <c r="B7" i="16"/>
  <c r="B6" i="16"/>
  <c r="B5" i="16"/>
  <c r="B10" i="16" s="1"/>
  <c r="C12" i="13"/>
  <c r="F12" i="13" s="1"/>
  <c r="C11" i="13"/>
  <c r="F11" i="13" s="1"/>
  <c r="C9" i="13"/>
  <c r="F9" i="13" s="1"/>
  <c r="F8" i="13"/>
  <c r="C8" i="13"/>
  <c r="C7" i="13"/>
  <c r="F7" i="13" s="1"/>
  <c r="F6" i="13"/>
  <c r="C6" i="13"/>
  <c r="C5" i="13"/>
  <c r="F5" i="13" s="1"/>
  <c r="C4" i="13"/>
  <c r="F4" i="13" s="1"/>
  <c r="C3" i="13"/>
  <c r="F3" i="13" s="1"/>
  <c r="C2" i="13"/>
  <c r="F2" i="13" s="1"/>
  <c r="C6" i="11"/>
  <c r="D6" i="11" s="1"/>
  <c r="C5" i="11"/>
  <c r="C4" i="11"/>
  <c r="D4" i="11" s="1"/>
  <c r="C3" i="11"/>
  <c r="D3" i="11" s="1"/>
  <c r="C2" i="11"/>
  <c r="D2" i="11" s="1"/>
  <c r="R65" i="7"/>
  <c r="R64" i="7"/>
  <c r="R63" i="7"/>
  <c r="R62" i="7"/>
  <c r="R61" i="7"/>
  <c r="R60" i="7"/>
  <c r="R59" i="7"/>
  <c r="R58" i="7"/>
  <c r="F9" i="16" s="1"/>
  <c r="R57" i="7"/>
  <c r="R56" i="7"/>
  <c r="R55" i="7"/>
  <c r="R54" i="7"/>
  <c r="R53" i="7"/>
  <c r="R52" i="7"/>
  <c r="R51" i="7"/>
  <c r="R50" i="7"/>
  <c r="R49" i="7"/>
  <c r="R48" i="7"/>
  <c r="R47" i="7"/>
  <c r="R46" i="7"/>
  <c r="R45" i="7"/>
  <c r="R44" i="7"/>
  <c r="R43" i="7"/>
  <c r="R42" i="7"/>
  <c r="R41" i="7"/>
  <c r="R40" i="7"/>
  <c r="R39" i="7"/>
  <c r="R38" i="7"/>
  <c r="R37" i="7"/>
  <c r="R36" i="7"/>
  <c r="R35" i="7"/>
  <c r="R34" i="7"/>
  <c r="R33" i="7"/>
  <c r="R32" i="7"/>
  <c r="R31" i="7"/>
  <c r="R30" i="7"/>
  <c r="R29" i="7"/>
  <c r="R28" i="7"/>
  <c r="R27" i="7"/>
  <c r="R26" i="7"/>
  <c r="R25" i="7"/>
  <c r="R24" i="7"/>
  <c r="R23" i="7"/>
  <c r="R22" i="7"/>
  <c r="R21" i="7"/>
  <c r="R20" i="7"/>
  <c r="R19" i="7"/>
  <c r="R18" i="7"/>
  <c r="R17" i="7"/>
  <c r="R16" i="7"/>
  <c r="F5" i="16" s="1"/>
  <c r="R15" i="7"/>
  <c r="R14" i="7"/>
  <c r="E5" i="16" s="1"/>
  <c r="R13" i="7"/>
  <c r="R12" i="7"/>
  <c r="R11" i="7"/>
  <c r="R10" i="7"/>
  <c r="B18" i="1" s="1"/>
  <c r="R9" i="7"/>
  <c r="R8" i="7"/>
  <c r="F8" i="16" s="1"/>
  <c r="R7" i="7"/>
  <c r="R6" i="7"/>
  <c r="R5" i="7"/>
  <c r="F6" i="16" s="1"/>
  <c r="R4" i="7"/>
  <c r="D5" i="16" s="1"/>
  <c r="R3" i="7"/>
  <c r="E8" i="16" s="1"/>
  <c r="R2" i="7"/>
  <c r="B18" i="16" s="1"/>
  <c r="N65" i="3"/>
  <c r="M65" i="3"/>
  <c r="L65" i="3"/>
  <c r="N64" i="3"/>
  <c r="M64" i="3"/>
  <c r="L64" i="3"/>
  <c r="N63" i="3"/>
  <c r="M63" i="3"/>
  <c r="L63" i="3"/>
  <c r="N62" i="3"/>
  <c r="M62" i="3"/>
  <c r="L62" i="3"/>
  <c r="N61" i="3"/>
  <c r="M61" i="3"/>
  <c r="L61" i="3"/>
  <c r="N60" i="3"/>
  <c r="M60" i="3"/>
  <c r="L60" i="3"/>
  <c r="N59" i="3"/>
  <c r="M59" i="3"/>
  <c r="L59" i="3"/>
  <c r="N58" i="3"/>
  <c r="M58" i="3"/>
  <c r="L58" i="3"/>
  <c r="N57" i="3"/>
  <c r="M57" i="3"/>
  <c r="L57" i="3"/>
  <c r="N56" i="3"/>
  <c r="M56" i="3"/>
  <c r="L56" i="3"/>
  <c r="N55" i="3"/>
  <c r="M55" i="3"/>
  <c r="L55" i="3"/>
  <c r="N54" i="3"/>
  <c r="M54" i="3"/>
  <c r="L54" i="3"/>
  <c r="N53" i="3"/>
  <c r="M53" i="3"/>
  <c r="L53" i="3"/>
  <c r="N52" i="3"/>
  <c r="M52" i="3"/>
  <c r="L52" i="3"/>
  <c r="N51" i="3"/>
  <c r="M51" i="3"/>
  <c r="L51" i="3"/>
  <c r="N50" i="3"/>
  <c r="M50" i="3"/>
  <c r="L50" i="3"/>
  <c r="N49" i="3"/>
  <c r="M49" i="3"/>
  <c r="L49" i="3"/>
  <c r="N48" i="3"/>
  <c r="M48" i="3"/>
  <c r="L48" i="3"/>
  <c r="N47" i="3"/>
  <c r="M47" i="3"/>
  <c r="L47" i="3"/>
  <c r="N46" i="3"/>
  <c r="M46" i="3"/>
  <c r="L46" i="3"/>
  <c r="N45" i="3"/>
  <c r="M45" i="3"/>
  <c r="L45" i="3"/>
  <c r="N44" i="3"/>
  <c r="M44" i="3"/>
  <c r="L44" i="3"/>
  <c r="N43" i="3"/>
  <c r="M43" i="3"/>
  <c r="L43" i="3"/>
  <c r="N42" i="3"/>
  <c r="M42" i="3"/>
  <c r="L42" i="3"/>
  <c r="N41" i="3"/>
  <c r="M41" i="3"/>
  <c r="L41" i="3"/>
  <c r="N40" i="3"/>
  <c r="M40" i="3"/>
  <c r="L40" i="3"/>
  <c r="N39" i="3"/>
  <c r="M39" i="3"/>
  <c r="L39" i="3"/>
  <c r="N38" i="3"/>
  <c r="M38" i="3"/>
  <c r="L38" i="3"/>
  <c r="N37" i="3"/>
  <c r="M37" i="3"/>
  <c r="L37" i="3"/>
  <c r="N36" i="3"/>
  <c r="M36" i="3"/>
  <c r="L36" i="3"/>
  <c r="N35" i="3"/>
  <c r="M35" i="3"/>
  <c r="L35" i="3"/>
  <c r="N34" i="3"/>
  <c r="M34" i="3"/>
  <c r="L34" i="3"/>
  <c r="N33" i="3"/>
  <c r="M33" i="3"/>
  <c r="L33" i="3"/>
  <c r="N32" i="3"/>
  <c r="M32" i="3"/>
  <c r="L32" i="3"/>
  <c r="N31" i="3"/>
  <c r="M31" i="3"/>
  <c r="L31" i="3"/>
  <c r="N30" i="3"/>
  <c r="M30" i="3"/>
  <c r="L30" i="3"/>
  <c r="N29" i="3"/>
  <c r="M29" i="3"/>
  <c r="L29" i="3"/>
  <c r="N28" i="3"/>
  <c r="M28" i="3"/>
  <c r="L28" i="3"/>
  <c r="N27" i="3"/>
  <c r="M27" i="3"/>
  <c r="L27" i="3"/>
  <c r="N26" i="3"/>
  <c r="M26" i="3"/>
  <c r="L26" i="3"/>
  <c r="N25" i="3"/>
  <c r="M25" i="3"/>
  <c r="L25" i="3"/>
  <c r="N24" i="3"/>
  <c r="M24" i="3"/>
  <c r="L24" i="3"/>
  <c r="N23" i="3"/>
  <c r="M23" i="3"/>
  <c r="L23" i="3"/>
  <c r="N22" i="3"/>
  <c r="M22" i="3"/>
  <c r="L22" i="3"/>
  <c r="N21" i="3"/>
  <c r="M21" i="3"/>
  <c r="L21" i="3"/>
  <c r="N20" i="3"/>
  <c r="M20" i="3"/>
  <c r="L20" i="3"/>
  <c r="N19" i="3"/>
  <c r="M19" i="3"/>
  <c r="L19" i="3"/>
  <c r="N18" i="3"/>
  <c r="M18" i="3"/>
  <c r="L18" i="3"/>
  <c r="N17" i="3"/>
  <c r="M17" i="3"/>
  <c r="L17" i="3"/>
  <c r="N16" i="3"/>
  <c r="M16" i="3"/>
  <c r="L16" i="3"/>
  <c r="N15" i="3"/>
  <c r="M15" i="3"/>
  <c r="L15" i="3"/>
  <c r="N14" i="3"/>
  <c r="M14" i="3"/>
  <c r="L14" i="3"/>
  <c r="N13" i="3"/>
  <c r="M13" i="3"/>
  <c r="L13" i="3"/>
  <c r="N12" i="3"/>
  <c r="M12" i="3"/>
  <c r="L12" i="3"/>
  <c r="N11" i="3"/>
  <c r="M11" i="3"/>
  <c r="L11" i="3"/>
  <c r="N10" i="3"/>
  <c r="M10" i="3"/>
  <c r="L10" i="3"/>
  <c r="N9" i="3"/>
  <c r="M9" i="3"/>
  <c r="L9" i="3"/>
  <c r="N8" i="3"/>
  <c r="M8" i="3"/>
  <c r="L8" i="3"/>
  <c r="N7" i="3"/>
  <c r="M7" i="3"/>
  <c r="L7" i="3"/>
  <c r="N6" i="3"/>
  <c r="M6" i="3"/>
  <c r="L6" i="3"/>
  <c r="N5" i="3"/>
  <c r="M5" i="3"/>
  <c r="L5" i="3"/>
  <c r="N4" i="3"/>
  <c r="M4" i="3"/>
  <c r="L4" i="3"/>
  <c r="N3" i="3"/>
  <c r="M3" i="3"/>
  <c r="L3" i="3"/>
  <c r="N2" i="3"/>
  <c r="M2" i="3"/>
  <c r="L2" i="3"/>
  <c r="C10" i="13" s="1"/>
  <c r="F10" i="13" s="1"/>
  <c r="B12" i="1"/>
  <c r="B11" i="1"/>
  <c r="B10" i="1"/>
  <c r="B15" i="16" s="1"/>
  <c r="B9" i="1"/>
  <c r="B14" i="16" s="1"/>
  <c r="B8" i="1"/>
  <c r="B7" i="1"/>
  <c r="B6" i="1"/>
  <c r="D5" i="11" s="1"/>
  <c r="C9" i="16" l="1"/>
  <c r="C6" i="16"/>
  <c r="D9" i="16"/>
  <c r="D6" i="16"/>
  <c r="D10" i="16" s="1"/>
  <c r="B16" i="16" s="1"/>
  <c r="E9" i="16"/>
  <c r="E6" i="16"/>
  <c r="E10" i="16" s="1"/>
  <c r="B17" i="1"/>
  <c r="F14" i="13" s="1"/>
  <c r="B19" i="1"/>
  <c r="C7" i="16"/>
  <c r="C13" i="13"/>
  <c r="F13" i="13" s="1"/>
  <c r="D7" i="16"/>
  <c r="E7" i="16"/>
  <c r="C14" i="13"/>
  <c r="F7" i="16"/>
  <c r="F10" i="16" s="1"/>
  <c r="C8" i="16"/>
  <c r="C5" i="16"/>
  <c r="C10" i="16" s="1"/>
  <c r="D8" i="16"/>
  <c r="B17" i="16"/>
</calcChain>
</file>

<file path=xl/sharedStrings.xml><?xml version="1.0" encoding="utf-8"?>
<sst xmlns="http://schemas.openxmlformats.org/spreadsheetml/2006/main" count="5168" uniqueCount="1409">
  <si>
    <t>GOLDEN SET V3.2  |  FUSION V3.1 + V2</t>
  </si>
  <si>
    <t>Version</t>
  </si>
  <si>
    <t>3.2</t>
  </si>
  <si>
    <t>Status</t>
  </si>
  <si>
    <t>Alle 64 spørgsmål GODKENDT; facit/evidens afventer faglig verifikation</t>
  </si>
  <si>
    <t>Korpus</t>
  </si>
  <si>
    <t>8 aktive Quick Guides</t>
  </si>
  <si>
    <t>Testcases</t>
  </si>
  <si>
    <t>Svarbare</t>
  </si>
  <si>
    <t>Ikke-svarbare</t>
  </si>
  <si>
    <t>Spørgsmål godkendt</t>
  </si>
  <si>
    <t>Facit godkendt af KerneGruppen</t>
  </si>
  <si>
    <t>Gold Evidence-rækker</t>
  </si>
  <si>
    <t>Gold Claims-rækker</t>
  </si>
  <si>
    <t>Syntese med flere dokumenter</t>
  </si>
  <si>
    <t>Kendt kildekonflikt</t>
  </si>
  <si>
    <t>NUM4/NUM6 – fortsat uafklaret; bruges ikke som entydigt facit</t>
  </si>
  <si>
    <t>Baseline-ID</t>
  </si>
  <si>
    <t>FASTSÆTTES VED LÅSNING</t>
  </si>
  <si>
    <t>Korpus låst dato</t>
  </si>
  <si>
    <t>Testbesvarelser indsamlet</t>
  </si>
  <si>
    <t>Bestået (målte cases)</t>
  </si>
  <si>
    <t>Kritiske fejl</t>
  </si>
  <si>
    <t>Beslutningsgrundlag</t>
  </si>
  <si>
    <t>Spørgsmål er godkendt; faglig verifikation og baselinefastlåsning mangler</t>
  </si>
  <si>
    <t>Kilde-ID</t>
  </si>
  <si>
    <t>Filnavn</t>
  </si>
  <si>
    <t>Fagområde</t>
  </si>
  <si>
    <t>Dokumentdato</t>
  </si>
  <si>
    <t>Indgår i baseline?</t>
  </si>
  <si>
    <t>Tilladte afsnit</t>
  </si>
  <si>
    <t>Ekskluderede afsnit</t>
  </si>
  <si>
    <t>Kendt konflikt?</t>
  </si>
  <si>
    <t>Datakvalitet</t>
  </si>
  <si>
    <t>QG-01</t>
  </si>
  <si>
    <t>Q Guide_arbejdslister_IDS7.docx</t>
  </si>
  <si>
    <t>Arbejdslister</t>
  </si>
  <si>
    <t>21.03.2025</t>
  </si>
  <si>
    <t>Aktiv</t>
  </si>
  <si>
    <t>Ja</t>
  </si>
  <si>
    <t>Nej</t>
  </si>
  <si>
    <t>Søgning, filtre, kolonner, arbejdslister.</t>
  </si>
  <si>
    <t>QG-02</t>
  </si>
  <si>
    <t>Q Guide_beskriver.docx</t>
  </si>
  <si>
    <t>Beskriver</t>
  </si>
  <si>
    <t>Strukturerede rapporter / repetitionsworkflow</t>
  </si>
  <si>
    <t>Afsnit med xxxx/ufærdigt ikon udelades.</t>
  </si>
  <si>
    <t>QG-03</t>
  </si>
  <si>
    <t>Q Guide_Billedområde.docx</t>
  </si>
  <si>
    <t>Billedområde</t>
  </si>
  <si>
    <t>Gem visning og præsentationer; NUM4/NUM6-facit</t>
  </si>
  <si>
    <t>Udkast samt genvejskonflikt.</t>
  </si>
  <si>
    <t>QG-04</t>
  </si>
  <si>
    <t>Q Guide_booking.docx</t>
  </si>
  <si>
    <t>Booking</t>
  </si>
  <si>
    <t>Booking-overblik xxxx; kalenderbrugerindstillinger</t>
  </si>
  <si>
    <t>Ufærdige dele udelades.</t>
  </si>
  <si>
    <t>QG-05</t>
  </si>
  <si>
    <t>Q Guide_Genvejsninja.docx</t>
  </si>
  <si>
    <t>Genvejs-ninja</t>
  </si>
  <si>
    <t>17.12.2023</t>
  </si>
  <si>
    <t>NUM4/NUM6-facit</t>
  </si>
  <si>
    <t>NUM4/NUM6 afviger fra Billedområde.</t>
  </si>
  <si>
    <t>QG-06</t>
  </si>
  <si>
    <t>Q Guide_Konferencer.docx</t>
  </si>
  <si>
    <t>Konferencer</t>
  </si>
  <si>
    <t>Versionstjek kræves.</t>
  </si>
  <si>
    <t>QG-07</t>
  </si>
  <si>
    <t>Q Guide_Protokollering.docx</t>
  </si>
  <si>
    <t>Protokollering</t>
  </si>
  <si>
    <t>QG-08</t>
  </si>
  <si>
    <t>Q Guide_Udførende.docx</t>
  </si>
  <si>
    <t>Udførende</t>
  </si>
  <si>
    <t>13.04.2023</t>
  </si>
  <si>
    <t>WIP-genveje</t>
  </si>
  <si>
    <t>ID</t>
  </si>
  <si>
    <t>Kategori</t>
  </si>
  <si>
    <t>Testspørgsmål</t>
  </si>
  <si>
    <t>Answerability</t>
  </si>
  <si>
    <t>Response mode</t>
  </si>
  <si>
    <t>Conflict expected?</t>
  </si>
  <si>
    <t>Spørgsmålsstatus</t>
  </si>
  <si>
    <t>Klar til blindtest?</t>
  </si>
  <si>
    <t>Oprindelig testtype (V2)</t>
  </si>
  <si>
    <t>Diagnostisk formål (V2)</t>
  </si>
  <si>
    <t>Antal evidensrækker</t>
  </si>
  <si>
    <t>Antal claims</t>
  </si>
  <si>
    <t>Facitstatus</t>
  </si>
  <si>
    <t>GS-001</t>
  </si>
  <si>
    <t>Terminologiske spørgsmål</t>
  </si>
  <si>
    <t>Jeg har ikke de arbejdslister, der passer til mine opgaver. Hvor kan jeg finde dem?</t>
  </si>
  <si>
    <t>ANSWERABLE</t>
  </si>
  <si>
    <t>DIRECT</t>
  </si>
  <si>
    <t>GODKENDT</t>
  </si>
  <si>
    <t>Afventer facit-/kildeverifikation</t>
  </si>
  <si>
    <t>Procedure</t>
  </si>
  <si>
    <t>Omformulering: 'arbejdslistegruppe' nævnes ikke i spørgsmålet.</t>
  </si>
  <si>
    <t>GS-002</t>
  </si>
  <si>
    <t>Tvetydige/svære spørgsmål</t>
  </si>
  <si>
    <t>Hvordan finder jeg de relevante undersøgelser i IDS7, når jeg ikke ved, om jeg skal bruge filter eller søgning?</t>
  </si>
  <si>
    <t>CONDITIONAL</t>
  </si>
  <si>
    <t>Advarsel</t>
  </si>
  <si>
    <t>Tvetydigt behov: søgelinje, søgepanel, kolonnefilter eller hurtigfilter.</t>
  </si>
  <si>
    <t>GS-003</t>
  </si>
  <si>
    <t>Simple opslagsspørgsmål</t>
  </si>
  <si>
    <t>Hvilken genvej åbner søgelinjen i IDS7, og hvor må et wildcard ikke placeres her?</t>
  </si>
  <si>
    <t>Opslag</t>
  </si>
  <si>
    <t>Direkte kildebaseret opslag.</t>
  </si>
  <si>
    <t>GS-004</t>
  </si>
  <si>
    <t>Syntesespørgsmål</t>
  </si>
  <si>
    <t>Hvordan vælger jeg mellem hurtig søgning på en patient, søgning med flere kriterier og filtrering på undersøgelsesnavn i IDS7?</t>
  </si>
  <si>
    <t>SYNTHESIS</t>
  </si>
  <si>
    <t>Syntese fra tre separate søgeafsnit.</t>
  </si>
  <si>
    <t>GS-005</t>
  </si>
  <si>
    <t>Jeg vil se undersøgelser, hvor navnet indeholder enten 'abd' eller 'cer'. Kan det klares med ét kolonnefilter?</t>
  </si>
  <si>
    <t>Brugersprog frem for kildeordet 'wildcard'/'ELLER-operator'.</t>
  </si>
  <si>
    <t>GS-006</t>
  </si>
  <si>
    <t>Hvordan får man standardkolonner og standardsortering tilbage, efter at brugeren har ændret begge dele?</t>
  </si>
  <si>
    <t>GS-007</t>
  </si>
  <si>
    <t>Jeg vil gerne lave min egen liste i IDS7. Kan jeg gøre det?</t>
  </si>
  <si>
    <t>Tvetydig hensigt: brugerdefineret standardliste eller særlig personlig liste.</t>
  </si>
  <si>
    <t>GS-008</t>
  </si>
  <si>
    <t>Hvor finder jeg som beskriver mine egne udkast og undersøgelser, som jeg skal gennemgå eller rette?</t>
  </si>
  <si>
    <t>Formuleret uden navnet 'Allokeret til mig'.</t>
  </si>
  <si>
    <t>GS-009</t>
  </si>
  <si>
    <t>En undersøgelse er godkendt til beskrivelse, men henvisningen indeholder flere undersøgelser. Hvilke kan komme med i ét samlet svar, og hvordan styrer man valget?</t>
  </si>
  <si>
    <t>Syntese af udførelse/godkendelse og beskrivelses-scope.</t>
  </si>
  <si>
    <t>GS-010</t>
  </si>
  <si>
    <t>Jeg kan ikke oprette en beskrivelse. Hvad kan være galt?</t>
  </si>
  <si>
    <t>Bevidst underspecificeret fejlsymptom.</t>
  </si>
  <si>
    <t>GS-011</t>
  </si>
  <si>
    <t>Jeg skal samle flere billeder/undersøgelser i samme beskrivelsestekst. Hvordan lægger jeg dem sammen, før jeg skriver?</t>
  </si>
  <si>
    <t>Semantisk omskrivning af 'tilføj undersøgelser ad hoc'.</t>
  </si>
  <si>
    <t>GS-012</t>
  </si>
  <si>
    <t>Hvordan kan en læge oprette en ny beskrivelse via tastaturet og derefter sikre, at den kan gemmes som kladde?</t>
  </si>
  <si>
    <t>Syntese af tastaturguide og den faglige beskrivelsesprocedure.</t>
  </si>
  <si>
    <t>GS-013</t>
  </si>
  <si>
    <t>Hvilken faldgrube findes ved Til gennemgang med navngiven reviewer?</t>
  </si>
  <si>
    <t>GS-014</t>
  </si>
  <si>
    <t>Jeg vil sende en beskrivelse tilbage til den, der skrev den, og sikre mig, at vedkommende kvitterer for min kommentar. Hvordan?</t>
  </si>
  <si>
    <t>Brugerens hensigt i stedet for funktionsnavnet 'Til korrigering'.</t>
  </si>
  <si>
    <t>GS-015</t>
  </si>
  <si>
    <t>Hvad er forskellen på foreløbig og endelig signering med hensyn til synlighed?</t>
  </si>
  <si>
    <t>GS-016</t>
  </si>
  <si>
    <t>En kollega ser allerede på samme undersøgelse. Må jeg begynde at diktere en beskrivelse?</t>
  </si>
  <si>
    <t>Tvetydig situation: anden bruger ser vs. har aktiv undersøgelse med skrivekonflikt.</t>
  </si>
  <si>
    <t>GS-017</t>
  </si>
  <si>
    <t>Billedvinduet er lukket, og en bruger skal åbne en undersøgelse og derefter gå videre til næste på listen. Hvad gøres med mus og genvej?</t>
  </si>
  <si>
    <t>Syntese af billedområdeprocedure og genvejsoversigt.</t>
  </si>
  <si>
    <t>GS-018</t>
  </si>
  <si>
    <t>Når flere undersøgelser vises, hvordan kan jeg se, hvilken af dem programmet lige nu arbejder på?</t>
  </si>
  <si>
    <t>Undgår selve fagtermen 'aktuel undersøgelse' i spørgsmålet.</t>
  </si>
  <si>
    <t>GS-019</t>
  </si>
  <si>
    <t>En bruger vil fortryde zoom/lysstyrkejustering for ét billede, derefter for alle serier – og til sidst genskabe hele præsentationen. Hvilke genveje adskiller de tre handlinger?</t>
  </si>
  <si>
    <t>Syntese af instruktion og oversigt over relaterede genveje.</t>
  </si>
  <si>
    <t>GS-020</t>
  </si>
  <si>
    <t>Hvordan gemmer jeg min billedopsætning, så jeg kan bruge den igen?</t>
  </si>
  <si>
    <t>Scenarie</t>
  </si>
  <si>
    <t>Mangler oplysninger om målet og har et uafklaret kildeafsnit.</t>
  </si>
  <si>
    <t>GS-021</t>
  </si>
  <si>
    <t>Der er kommet en lille stjerne efter navnet på min billedopsætning. Hvad betyder den?</t>
  </si>
  <si>
    <t>Omtaler displayprotokol som 'billedopsætning'.</t>
  </si>
  <si>
    <t>GS-022</t>
  </si>
  <si>
    <t>Hvordan skifter jeg den serie, der vises i det aktuelle billedfelt, uden at åbne en anden undersøgelse?</t>
  </si>
  <si>
    <t>Brugersprog for viewport/serievælger.</t>
  </si>
  <si>
    <t>GS-023</t>
  </si>
  <si>
    <t>Hvordan etableres et nøglebillede, og hvad sker der med det ved sletning af en annotation?</t>
  </si>
  <si>
    <t>GS-024</t>
  </si>
  <si>
    <t>En akut undersøgelse skal udføres hurtigt. Hvad er forskellen på normalt at booke gennem RIS og at oprette en akut tid direkte i IDS7?</t>
  </si>
  <si>
    <t>Sammenholder normal booking med særligt akut-flow.</t>
  </si>
  <si>
    <t>GS-025</t>
  </si>
  <si>
    <t>Jeg kan se en dato med fed skrift i kalenderen. Betyder det, at der er en ledig tid?</t>
  </si>
  <si>
    <t>Samme visuelle signal betyder noget forskelligt i to arbejdsgange.</t>
  </si>
  <si>
    <t>GS-026</t>
  </si>
  <si>
    <t>Tre undersøgelser på samme henvisning skal bookes samtidig med reduceret varighed. Hvad er minimum for den samlede varighed ifølge guiden?</t>
  </si>
  <si>
    <t>GS-027</t>
  </si>
  <si>
    <t>Kan en henvisning forsvinde fra min daglige bookingliste og dukke op igen, når tidspunktet nærmer sig?</t>
  </si>
  <si>
    <t>Tester semantisk genfinding af 'Book senere dato'.</t>
  </si>
  <si>
    <t>GS-028</t>
  </si>
  <si>
    <t>Sekretariatet skal skaffe manglende materiale, før en henvisning kan bookes. Hvordan håndteres den gennem visitation og booking?</t>
  </si>
  <si>
    <t>Syntese af visitationens og sekretariatets bookingarbejdsgange.</t>
  </si>
  <si>
    <t>GS-029</t>
  </si>
  <si>
    <t>En undersøgelse skal ikke gennemføres. Hvilken forskel er der på at fjerne den fra henvisningen og at annullere den – især i forhold til SP?</t>
  </si>
  <si>
    <t>Sammenholder to guides og eksplicitte undtagelser.</t>
  </si>
  <si>
    <t>GS-030</t>
  </si>
  <si>
    <t>En bruger booker en undersøgelse direkte i IDS7 og forventer, at tiden er reserveret i RIS-kalenderen. Hvad siger guiden?</t>
  </si>
  <si>
    <t>GS-031</t>
  </si>
  <si>
    <t>Hvordan fordeler man en serieundersøgelses delundersøgelser over flere rum eller dage?</t>
  </si>
  <si>
    <t>GS-032</t>
  </si>
  <si>
    <t>Hvordan laver jeg en visning i flere planer eller et 3D-billede med tastaturet?</t>
  </si>
  <si>
    <t>Undgår forkortelserne MPR og 3D som ledetråd til kildeafsnittet.</t>
  </si>
  <si>
    <t>GS-033</t>
  </si>
  <si>
    <t>Hvilke genvejstaster bruges til afstand, ROI-cirkel og tekstannotation?</t>
  </si>
  <si>
    <t>GS-034</t>
  </si>
  <si>
    <t>Hvilke bogstavgenveje åbner informations-, undersøgelses-, chat- og matrixvinduerne?</t>
  </si>
  <si>
    <t>GS-035</t>
  </si>
  <si>
    <t>Hvad skal man vælge, hvis man vil fjerne ét tegnet mål, al grafik eller blot nulstille billedvisningen uden at slette annotationerne?</t>
  </si>
  <si>
    <t>Syntese af relaterede men ikke ens billedhandlinger.</t>
  </si>
  <si>
    <t>GS-036</t>
  </si>
  <si>
    <t>Hvad betyder fed skrift i kalenderen, når man vælger en konferenceliste?</t>
  </si>
  <si>
    <t>GS-037</t>
  </si>
  <si>
    <t>En bruger har omarrangeret konferencelisten og bagefter sorteret på en anden kolonne. Hvordan genskabes konferenceordenen?</t>
  </si>
  <si>
    <t>GS-038</t>
  </si>
  <si>
    <t>Vi bruger bogstaverne A til H til at sortere patienter på en konference. Hvad er formålet med dem?</t>
  </si>
  <si>
    <t>Tester genfinding af betegnelsen 'Konferencekategorier' via omskrivning.</t>
  </si>
  <si>
    <t>GS-039</t>
  </si>
  <si>
    <t>Hvordan kan en hel konferenceliste markeres som demonstreret på én gang?</t>
  </si>
  <si>
    <t>GS-040</t>
  </si>
  <si>
    <t>Hvordan lægger man en undersøgelse på en konference, og hvordan kan den fjernes igen med tastatur eller menu?</t>
  </si>
  <si>
    <t>Syntese af konferenceprocedure og genvejstaster.</t>
  </si>
  <si>
    <t>GS-041</t>
  </si>
  <si>
    <t>Hvor opretter man en konferenceopfølgning med kommentar, og hvordan afsluttes den?</t>
  </si>
  <si>
    <t>GS-042</t>
  </si>
  <si>
    <t>Når vi vælger 'Næste undersøgelse' under en konference, bliver et punkt indimellem sprunget over. Hvad kan forklare det?</t>
  </si>
  <si>
    <t>Fejlsymptom med en dokumenteret mulig – ikke sikker – forklaring.</t>
  </si>
  <si>
    <t>GS-043</t>
  </si>
  <si>
    <t>Hvilke hovedtrin angiver Quick Guiden for visitation og protokollering?</t>
  </si>
  <si>
    <t>GS-044</t>
  </si>
  <si>
    <t>Undersøgelsen har fået prioriteringskode, men ingen protokol. Forsvinder den fra visitationslisten?</t>
  </si>
  <si>
    <t>GS-045</t>
  </si>
  <si>
    <t>Hvad er forskellen på at sætte visitationen på pause og at sende henvisningen til sekretariatet for manglende oplysninger? Hvad sker der på listerne?</t>
  </si>
  <si>
    <t>Syntese af prioriteret visitationsproces og bookingens opgaveoversigt.</t>
  </si>
  <si>
    <t>GS-046</t>
  </si>
  <si>
    <t>Hvorfor blev undersøgelsesnavnet ikke automatisk udskiftet ved protokoltildeling, og hvad gør man?</t>
  </si>
  <si>
    <t>GS-047</t>
  </si>
  <si>
    <t>En bruger vil fjerne en gammel undersøgelse og oprette en ny for at ændre undersøgelsestypen. Hvad anbefaler guiden i stedet?</t>
  </si>
  <si>
    <t>GS-048</t>
  </si>
  <si>
    <t>Hvor angiver man instruktioner til udførende personale og booking ved protokollering?</t>
  </si>
  <si>
    <t>GS-049</t>
  </si>
  <si>
    <t>Hvordan ændres en allerede tildelt protokol på en undersøgelse?</t>
  </si>
  <si>
    <t>GS-050</t>
  </si>
  <si>
    <t>Hvad bruges I- og U-vinduerne til i IDS7, og hvordan finder man vedhæftede XDS-dokumenter på øvrige lister?</t>
  </si>
  <si>
    <t>GS-051</t>
  </si>
  <si>
    <t>Hvilke registreringstrin skal udførende personale gennemføre, før en beskriver kan starte en ny beskrivelse – og hvordan startes den?</t>
  </si>
  <si>
    <t>Syntese af udførende- og beskriverarbejdsgang.</t>
  </si>
  <si>
    <t>GS-052</t>
  </si>
  <si>
    <t>En undersøgelse er akut, men der er ikke nogen rød hasteangivelse på listen. Skal henvisers prioritet ændres?</t>
  </si>
  <si>
    <t>Vigtigt manglende input: oprindelig prioritet og proces.</t>
  </si>
  <si>
    <t>GS-053</t>
  </si>
  <si>
    <t>Hvornår kan Ikke mødt-flaget bruges, og hvordan registreres udeblivelse næste dag?</t>
  </si>
  <si>
    <t>GS-054</t>
  </si>
  <si>
    <t>Hvilken dokumentation angiver guiden ved en afbrudt undersøgelse eller en allergisk reaktion?</t>
  </si>
  <si>
    <t>GS-055</t>
  </si>
  <si>
    <t>Kan et signeret lægemiddelfelt om kontrast redigeres på normal vis?</t>
  </si>
  <si>
    <t>GS-056</t>
  </si>
  <si>
    <t>Hvordan gør en radiograf opmærksom på et problem, så sagen dukker op hos dem, der administrerer systemet?</t>
  </si>
  <si>
    <t>Tester 'Til systemadministrator' uden at bruge feltets præcise navn.</t>
  </si>
  <si>
    <t>GS-057</t>
  </si>
  <si>
    <t>Ikke-svarbare spørgsmål</t>
  </si>
  <si>
    <t>Hvad er den præcise SQL-forespørgsel bag en bestemt standardarbejdsliste i IDS7?</t>
  </si>
  <si>
    <t>UNANSWERABLE</t>
  </si>
  <si>
    <t>Afstå</t>
  </si>
  <si>
    <t>Bevidst negativ test: intet grundlag i de 8 aktive Quick Guides.</t>
  </si>
  <si>
    <t>GS-058</t>
  </si>
  <si>
    <t>Hvilket konkret BAM-ID skal bruges som reviewer på afdelingen i dag?</t>
  </si>
  <si>
    <t>GS-059</t>
  </si>
  <si>
    <t>Hvilken versionsdato og godkendt ejer har den displayprotokol, som er installeret i vores produktionsmiljø lige nu?</t>
  </si>
  <si>
    <t>GS-060</t>
  </si>
  <si>
    <t>Hvor mange ledige MR-tider findes der i RIS-kalenderen klokken 14 i morgen?</t>
  </si>
  <si>
    <t>GS-061</t>
  </si>
  <si>
    <t>Hvilken IDS7-build/version er installeret på alle regionens arbejdsstationer i dag?</t>
  </si>
  <si>
    <t>GS-062</t>
  </si>
  <si>
    <t>Hvilke konkrete personer deltager i morgendagens konferencemøde?</t>
  </si>
  <si>
    <t>GS-063</t>
  </si>
  <si>
    <t>Hvad er den nøjagtige kliniske kontrastdosis for en bestemt patient ved en bestemt undersøgelse?</t>
  </si>
  <si>
    <t>GS-064</t>
  </si>
  <si>
    <t>Hvad er den aktuelle telefonliste med navne og vagtnumre til alle Sectra-systemadministratorer?</t>
  </si>
  <si>
    <t>Expected behavior</t>
  </si>
  <si>
    <t>Forventet svar / facit</t>
  </si>
  <si>
    <t>Minimumskrav</t>
  </si>
  <si>
    <t>Claims-reference</t>
  </si>
  <si>
    <t>Evidence sufficiency</t>
  </si>
  <si>
    <t>Evidence consistency</t>
  </si>
  <si>
    <t>Reviewbemærkning</t>
  </si>
  <si>
    <t>Facit godkendelse (KerneGruppen)</t>
  </si>
  <si>
    <t>Henvisningskrav (V2)</t>
  </si>
  <si>
    <t>Alvor ved fejlsvar (V2)</t>
  </si>
  <si>
    <t>Påkrævede dokumenter (V2)</t>
  </si>
  <si>
    <t>Vælg arbejdslistegruppen i fanen til venstre for den aktuelle funktion. Hver gruppe indeholder relevante lister; yderligere lister kan trækkes fra Alle arbejdslister. Guiden anbefaler de opsatte grupper.</t>
  </si>
  <si>
    <t>Relevant gruppe i venstre fane; Alle arbejdslister; brug de opsatte grupper.</t>
  </si>
  <si>
    <t>Se 06 Gold Claims</t>
  </si>
  <si>
    <t>SUFFICIENT</t>
  </si>
  <si>
    <t>CONSISTENT</t>
  </si>
  <si>
    <t>AFVENTER</t>
  </si>
  <si>
    <t>Citat fra relevant faglig kilde</t>
  </si>
  <si>
    <t>Middel</t>
  </si>
  <si>
    <t>Det afhænger af behovet. Spørg, om brugeren vil søge efter en bestemt patient/undersøgelse, filtrere en kolonne eller afgrænse en arbejdsliste med hurtigfilter. Guiden beskriver søgelinje (CTRL-G), søgepanel (CTRL-F), kolonnefiltrering og hurtigfiltre. Flere hurtigfiltre giver summen af filtrene – ikke automatisk en OG-fællesmængde.</t>
  </si>
  <si>
    <t>Undersøg søgebehovet; foreslå relevant mekanisme; advar om summering ved flere hurtigfiltre.</t>
  </si>
  <si>
    <t>Betinget svar/afklaring med dokumenterede kilder</t>
  </si>
  <si>
    <t>CTRL-G åbner søgelinjen. Man kan søge på personnummer, navn eller dele heraf og bruge * som wildcard, men ikke som første karakter i søgelinjen.</t>
  </si>
  <si>
    <t>CTRL-G; * kan ikke stå først i denne søgelinje.</t>
  </si>
  <si>
    <t>Til hurtig søgning efter personnummer eller navn bruges søgelinjen (CTRL-G). Til søgning med et eller flere kriterier bruges Søgepanel (CTRL-F eller Vis &gt; Søgepanel) og eventuelt Avanceret søgning. Til filtrering i en vist kolonne bruges kolonnens filtreringsfelt; her kan * og | bruges til mønstre og ELLER-søgning.</t>
  </si>
  <si>
    <t>Rigtigt valg af alle tre søgemetoder og korrekt skelnen mellem dem.</t>
  </si>
  <si>
    <t>I kolonnens filtreringsfelt kan man bruge wildcard * og tegnet | som ELLER, fx *abd|*cer for undersøgelsesnavn.</t>
  </si>
  <si>
    <t>* og |; eksempel *abd|*cer; ELLER-betydning.</t>
  </si>
  <si>
    <t>Højreklik på kolonneoverskriften og vælg Nulstil kolonner og sortering. Nulstil sortering alene gendanner kun sorteringen.</t>
  </si>
  <si>
    <t>Højreklik; Nulstil kolonner og sortering; skeln fra Nulstil sortering.</t>
  </si>
  <si>
    <t>Det afhænger af formålet. Spørg, om listen skal erstatte en almindelig booking-/dagsprogram-/skriveliste, eller om det er en særlig personlig eller statisk liste. Egne lister bør ikke erstatte de normale opsatte arbejdslistegrupper. Til særbehov: højreklik på Brugerarbejdslister og vælg Ny arbejdsliste eller Ny statisk arbejdsliste.</t>
  </si>
  <si>
    <t>Afklar formålet; fraråd erstatning af normale lister; nævn hvor personlige/statiske lister oprettes.</t>
  </si>
  <si>
    <t>Bl.a. undersøgelser hvor den aktuelle bruger er reviewer, er tildelt korrigering, har egne kladder eller er granskende læge på endnu ikke endeligt signerede undersøgelser.</t>
  </si>
  <si>
    <t>Reviewer/korrigering; egne kladder; ikke endeligt signerede som granskende læge.</t>
  </si>
  <si>
    <t>Udførende-guiden angiver, at en undersøgelse skal godkendes, før en beskrivelse kan oprettes. Beskriver-guiden siger, at undersøgelser på henvisningen indgår i report-scope og kan vælges; forvalget afhænger af den underliggende arbejdsliste. Klik på det hvide dokument for til-/fravalg. Den aktuelle grønmarkerede undersøgelse må ikke være fravalgt ved start.</t>
  </si>
  <si>
    <t>Godkendelse som forudsætning; report-scope; til-/fravalg; grøn aktuel må ikke være fravalgt.</t>
  </si>
  <si>
    <t>Høj</t>
  </si>
  <si>
    <t>Q Guide_Udførende.docx | Q Guide_beskriver.docx</t>
  </si>
  <si>
    <t>Det kan ikke afgøres entydigt uden flere oplysninger. Spørg bl.a., om undersøgelsen er godkendt, og om den aktuelle grønmarkerede undersøgelse er valgt til beskrivelsen. Udførende-guiden siger, at godkendelse kræves før beskrivelse; Beskriver-guiden siger, at en fravalgt aktuel undersøgelse hindrer start. Andre årsager kan ikke fastslås ud fra spørgsmålet alene.</t>
  </si>
  <si>
    <t>Angiv mindst to dokumenterede mulige forhold; efterspørg relevant status; undgå skråsikker diagnose.</t>
  </si>
  <si>
    <t>Før beskrivelsen er startet kan ekstra undersøgelser trækkes fra undersøgelseslisten til listen i beskrivelsesfanen. Alle undersøgelser på den tilføjede henvisning medtages; ved afsendelse kan de få samme beskrivelse.</t>
  </si>
  <si>
    <t>Før start; drag-and-drop; samlet beskrivelse med fælles svarafsendelse.</t>
  </si>
  <si>
    <t>Genvejs-ninja angiver Enter som genvej til ny beskrivelse/tilføjelse. Beskriver-guiden angiver også Ny tom beskrivelse eller optageknappen på SpeechMike til at starte. Gem via gem-ikonet; der skal først være indsat tekst ud over selve skabelonen.</t>
  </si>
  <si>
    <t>Enter til start; gem-ikon; tekst ud over skabelon kræves.</t>
  </si>
  <si>
    <t>Q Guide_Genvejsninja.docx | Q Guide_beskriver.docx</t>
  </si>
  <si>
    <t>Vælg Til gennemgang, indtast reviewer (navn eller BAM-ID), og send. Den sidst anvendte reviewer bibeholdes, indtil vedkommende fjernes manuelt, så kontrollér og ryd feltet ved behov.</t>
  </si>
  <si>
    <t>Reviewer vælges; sidst anvendte bibeholdes; fjern manuelt.</t>
  </si>
  <si>
    <t>Til korrigering kan bruges, når beskrivelsen har været sendt Til gennemgang. Vælg Til korrigering; feedback-vindue åbnes. Markér Kræver bekræftelse, hvis forfatteren skal signere for at have læst kommentaren.</t>
  </si>
  <si>
    <t>Kun efter Til gennemgang; feedback; Kræver bekræftelse.</t>
  </si>
  <si>
    <t>Ifølge statusoversigten vises en foreløbig beskrivelse i SP, mens en endelig beskrivelse vises i SP og MedCom. Signeringsknappen vælges som Foreløbig eller Endelig.</t>
  </si>
  <si>
    <t>Foreløbig SP; endelig SP og MedCom; de to knapvalg.</t>
  </si>
  <si>
    <t>Det afhænger af den konkrete situation. Øje-ikonet viser, at en anden bruger ser undersøgelsen. Hvis en anden bruger allerede har undersøgelsen aktiv og der vises en advarsel, når du vil starte beskrivelsen, må du ikke fortsætte. Afklar derfor, om der alene ses en læsemarkering, eller om der faktisk vises en advarsel ved beskrivelsesstart.</t>
  </si>
  <si>
    <t>Skeln mellem øje/læsemarkering og advarsel ved beskrivelsesstart; stop ved advarsel.</t>
  </si>
  <si>
    <t>Billedområde-guiden siger, at man dobbeltklikker på patient eller undersøgelse for at åbne billedvinduet, når det er lukket. Når vinduet er åbent, bruges normalt enkeltklik ved skift af patient fra arbejdsliste, mens dobbeltklik skifter aktuel undersøgelse. Genvejs-ninja angiver CTRL+Højre til næste undersøgelse og CTRL+Venstre til forrige.</t>
  </si>
  <si>
    <t>Dobbeltklik kun til åbning/skift aktuel undersøgelse; enkeltklik ved patientsift; CTRL+Højre næste.</t>
  </si>
  <si>
    <t>Q Guide_Billedområde.docx | Q Guide_Genvejsninja.docx</t>
  </si>
  <si>
    <t>Den aktuelle undersøgelse er markeret med grøn fremhævning i informationsvinduet og med grøn skrift i demografisk layout i billedvinduet.</t>
  </si>
  <si>
    <t>Grøn i informationsvindue og demografisk layout.</t>
  </si>
  <si>
    <t>Billedområde skelner mellem aktuel serie: Nulstil (CTRL+R), og alle serier: Nulstil til original (CTRL+SHIFT+R). For hele præsentationen angiver Billedområde Fil &gt; Nulstil præsentation (CTRL+ALT+R). Genvejs-ninja bekræfter de tre nulstillingsgenveje.</t>
  </si>
  <si>
    <t>CTRL+R ét billede/serie; CTRL+SHIFT+R alle; CTRL+ALT+R præsentation; skel mellem scope.</t>
  </si>
  <si>
    <t>Først bør det afklares, om den skal genåbnes af den samme bruger, eller om visningen skal deles med andre. Ved genåbning af samme undersøgelse gemmes en genoptagelsespræsentation automatisk for brugeren. Til en specifik delbar visning nævner guiden særskilt lagring, men afsnittet om lagringsformer er mærket 'dette afsnit skal omskrives', så detaljer herfra bør ikke gives som autoritative uden KerneGruppens review.</t>
  </si>
  <si>
    <t>Spørg om personlig genåbning vs deling; genoptaget præsentation gemmes automatisk; udkast skal markeres.</t>
  </si>
  <si>
    <t>At brugeren har foretaget tilpasninger af en eksisterende displayprotokol. Guiden angiver Fil &gt; Nulstil præsentation (CTRL-ALT-R) til nulstilling.</t>
  </si>
  <si>
    <t>* viser tilpasning; nulstilling Fil &gt; Nulstil præsentation / CTRL-ALT-R.</t>
  </si>
  <si>
    <t>Træk en serie fra miniaturevisningen/serievælgeren til den ønskede viewport, eller klik på pilen ved serienavnet i billedvinduet og vælg serien fra menuen.</t>
  </si>
  <si>
    <t>Drag-and-drop til viewport eller pil ved serienavn.</t>
  </si>
  <si>
    <t>Nøglebilleder oprettes automatisk, når der tilføjes annotation/mål, og fjernes automatisk, når annotationen slettes. De kan også sættes manuelt via højreklik &gt; Nøglebillede og nøgleserie &gt; Indstil nøglebillede.</t>
  </si>
  <si>
    <t>Automatisk ved mål; fjernes ved sletning; kan oprettes manuelt.</t>
  </si>
  <si>
    <t>Booking-guiden beskriver normalt forløb: vælg undersøgelsen i IDS7, hvorefter RIS synkroniseres, og selve tiden bookes i RIS. Udførende-guiden beskriver mulighed for direkte akut booking i IDS7, men advarer om, at dette ikke reserverer en tidsblok i RIS-dagsprogrammet eller knytter til relevant rum på samme måde. Derfor skal korrekt rum og kalendertidsreservation håndteres bevidst.</t>
  </si>
  <si>
    <t>RIS-booking versus direkte akut IDS7-booking; IDS7 reserverer ikke kalenderblok; korrekt rum.</t>
  </si>
  <si>
    <t>Q Guide_booking.docx | Q Guide_Udførende.docx</t>
  </si>
  <si>
    <t>Det afhænger af, hvilken kalender der menes. I RIS-bookingkalenderen betyder fed dato, at der findes et udrullet skema, ikke at der er ledige tider. På en konferenceliste markerer fed dato en konferencedato. Spørg derfor, om brugeren arbejder med booking eller konference.</t>
  </si>
  <si>
    <t>Efterspørg hvilken kalender; forklar begge dokumenterede betydninger; ingen garanti om ledig tid.</t>
  </si>
  <si>
    <t>Q Guide_booking.docx | Q Guide_Konferencer.docx</t>
  </si>
  <si>
    <t>Mindst 15 minutter, fordi hver af de tre undersøgelser ikke må have kortere varighed end 5 minutter. Markér undersøgelserne, vælg Book, Indstil for alle undersøgelser, og justér samlet varighed.</t>
  </si>
  <si>
    <t>3 × mindst 5 minutter = mindst 15 minutter; Indstil for alle.</t>
  </si>
  <si>
    <t>Markér undersøgelsen, vælg Henv. status &gt; Book senere dato og vælg forventet bookingdato. Undersøgelsen fjernes midlertidigt fra bookinglisten og kommer typisk tilbage 1-2 måneder før datoen afhængigt af lokal konfiguration.</t>
  </si>
  <si>
    <t>Henv. status; dato; midlertidigt væk; 1-2 måneder før (lokal opsætning).</t>
  </si>
  <si>
    <t>I protokollering vælges Henv. status &gt; Mangler information, og det noteres, hvad der mangler i henvisningsnoterne. Undersøgelsen forsvinder fra visitationslisten, indtil sekretariatet har håndteret opgaven. Booking-guiden beskriver videre behandling via Booking Administrative opg. og brug af Adm. opg.-felter til eksempelvis rekvireret/modtaget eksternt materiale.</t>
  </si>
  <si>
    <t>Visitation: notér mangler og sæt status; booking: administrative opgaver til opfølgning.</t>
  </si>
  <si>
    <t>Q Guide_Protokollering.docx | Q Guide_booking.docx</t>
  </si>
  <si>
    <t>Både Booking- og Protokollering-guiden siger, at Fjern undersøgelse fra henvisning ikke udløser besked til SP. Protokollering-guiden siger, at Annuller kræver en årsag og normalt udløser besked til SP, med angivne undtagelser (Dobbelthenvisning og Aflyst, patienten er død).</t>
  </si>
  <si>
    <t>Fjern ingen SP-besked; annuller med årsag giver typisk SP-besked; undtagelser nævnes.</t>
  </si>
  <si>
    <t>Q Guide_booking.docx | Q Guide_Protokollering.docx</t>
  </si>
  <si>
    <t>Booking i IDS7-undersøgelsesvinduet reserverer ikke tid i RIS-kalenderen. Guiden angiver i stedet, at en ad hoc-tid kan oprettes via Kalender &gt; Kommando &gt; Opret indkaldelse til valgt undersøgelse.</t>
  </si>
  <si>
    <t>IDS7 reserverer ikke kalenderplads; alternativ via Kalender &gt; Kommando.</t>
  </si>
  <si>
    <t>Brug højreklikmetoden (KFNM): vælg en delundersøgelse, højreklik på ønsket tid, gentag for hver delundersøgelse, og afslut med Book (ALT-B).</t>
  </si>
  <si>
    <t>Delundersøgelse ad gangen; højreklik tid; Book/ALT-B.</t>
  </si>
  <si>
    <t>CTRL-M åbner MPR, og CTRL-T åbner 3D ifølge genvejsoversigten.</t>
  </si>
  <si>
    <t>CTRL-M MPR; CTRL-T 3D.</t>
  </si>
  <si>
    <t>L = afstand, R = ROI-cirkel, og T = tekstannotation.</t>
  </si>
  <si>
    <t>L, R, T med korrekte funktioner.</t>
  </si>
  <si>
    <t>I = informationsvindue, U = undersøgelsesvindue, C = chatvindue og M = matrixvindue.</t>
  </si>
  <si>
    <t>I, U, C, M i korrekt rækkefølge.</t>
  </si>
  <si>
    <t>Genvejs-ninja angiver DEL til at slette valgte mål og SHIFT+DEL til at slette al grafik i præsentationen. Billedområde-guiden angiver CTRL+R til nulstilling af zoom/Window-Level for den aktuelle serie og CTRL+SHIFT+R for alle serier. Det er forskellige handlinger: sletning af annotationer er ikke det samme som nulstilling af zoom/W-L.</t>
  </si>
  <si>
    <t>DEL ét valgt mål, SHIFT+DEL al grafik, CTRL+R aktuelle serie og CTRL+SHIFT+R alle serier.</t>
  </si>
  <si>
    <t>Q Guide_Genvejsninja.docx | Q Guide_Billedområde.docx</t>
  </si>
  <si>
    <t>Datoer med fed skrift er konferencedatoer. Klik på datoen for at se den relevante konference.</t>
  </si>
  <si>
    <t>Fed skrift = konferencedato; klik dato.</t>
  </si>
  <si>
    <t>Rækkefølgen ændres med drag-and-drop og afspejles i en arbejdslisterækkefølge-kolonne. Sortér efter den kolonne for at vende tilbage til den fastlagte konferencerækkefølge.</t>
  </si>
  <si>
    <t>Drag-and-drop; arbejdslisterækkefølge-kolonne.</t>
  </si>
  <si>
    <t>De generiske kategorier A-H kan tildeles undersøgelser på en konference og anvendes efter lokal aftale. De kan bruges som sorteringskolonne.</t>
  </si>
  <si>
    <t>A-H generiske; lokal aftale; sortering.</t>
  </si>
  <si>
    <t>Markér én undersøgelse og CTRL-A for alle (eller multivælg med CTRL-klik); højreklik og vælg Konference &gt; Demonstreret. Værktøjslinjeknappen bruges normalt én undersøgelse ad gangen.</t>
  </si>
  <si>
    <t>CTRL-A/multimarkering; højreklik &gt; Konference &gt; Demonstreret.</t>
  </si>
  <si>
    <t>Konferencer-guiden beskriver højreklik på undersøgelse i undersøgelseslisten &gt; Konference &gt; Føj til konference. Genvejs-ninja angiver CTRL+K til Føj til konference. Fra konferencelisten kan undersøgelsen fjernes med DELETE eller ved højreklik &gt; Konference &gt; Fjern fra konference.</t>
  </si>
  <si>
    <t>Højreklik-mulighed; CTRL+K; DELETE/menumulighed ved fjern.</t>
  </si>
  <si>
    <t>Q Guide_Konferencer.docx | Q Guide_Genvejsninja.docx</t>
  </si>
  <si>
    <t>Fra undersøgelseslisten, ikke selve konferencelisten: højreklik &gt; Konference &gt; Indstil opfølgning. Skriv kommentar. Når opgaven er løst, højreklik &gt; Konference &gt; Ryd opfølgning.</t>
  </si>
  <si>
    <t>Undersøgelseslisten, ikke konferencelisten; Indstil og Ryd opfølgning.</t>
  </si>
  <si>
    <t>Det kan ifølge Konferencer-guiden skyldes, at en anden bruger har undersøgelsen øje-/læsemarkeret. Det er en mulig forklaring, ikke en sikker diagnose uden flere oplysninger. Guiden nævner mulighed for at navigere direkte på en fastgjort konferenceliste og en avanceret brugerindstilling, men ændringen kan påvirke andre lister. Bemærk, at 'Udelukket' ikke automatisk springes over.</t>
  </si>
  <si>
    <t>Forklar sandsynlig mulighed; afklar læsemarkering; nævn at indstillingsændringer påvirker andre lister.</t>
  </si>
  <si>
    <t>Vælg visitationsarbejdsliste og patient/undersøgelser, angiv prioriteringskode, kontrollér Angivet-dato, angiv protokol og signér. Undersøgelser vælges via hvide ikoner; den aktuelle grønmarkerede kan ikke fravælges.</t>
  </si>
  <si>
    <t>Arbejdsliste; markering; prioriteringskode; Angivet-dato; protokol; signer.</t>
  </si>
  <si>
    <t>Nej. Status ændres til Prioriteret ved prioriteringskode, men uden protokol bliver undersøgelsen på visitationslisten ifølge guiden.</t>
  </si>
  <si>
    <t>Status Prioriteret; uden protokol bliver på listen.</t>
  </si>
  <si>
    <t>Visitation på pause bruges, når visitator selv skal indhente information; undersøgelsen bliver stående på visitationslisten. Mangler information bruges, når sekretariatet skal skaffe materiale; undersøgelsen fjernes fra visitationslisten, indtil opgaven er håndteret. Booking-guiden placerer sådanne opgaver på Booking Administrative opg. med statusmuligheder i Adm. opg.</t>
  </si>
  <si>
    <t>Rigtig ansvarsforskel, listeadfærd og bookingens administrative opfølgning.</t>
  </si>
  <si>
    <t>Automatisk udskiftning kræver, at protokollen er knyttet til netop én undersøgelse. Hvis protokollen er knyttet til flere, må korrekt undersøgelse vælges manuelt under protokollen.</t>
  </si>
  <si>
    <t>Én tilknytning = automatisk; flere = vælg manuelt.</t>
  </si>
  <si>
    <t>Udskift den eksisterende undersøgelse i IDS7. Guiden advarer mod at tilføje en ny og fjerne den gamle, fordi henvisningsoplysninger fra SP kan gå tabt; udskiftningen bør ikke foretages i RIS.</t>
  </si>
  <si>
    <t>Udskift i IDS7; undgå add/remove; SP-data kan gå tabt; ikke i RIS.</t>
  </si>
  <si>
    <t>Instruktionerne angives i protokolteksten over den stiplede linje; for booking placeres teksten under en eventuel ændring til protokollen. Øvrige kommentarer kan også skrives i henvisningsnoter.</t>
  </si>
  <si>
    <t>Protokoltekst over stiplet linje; booking under protokolændring.</t>
  </si>
  <si>
    <t>Vælg Rediger og fjern den eksisterende protokol, før den nye tildeles.</t>
  </si>
  <si>
    <t>Rediger; fjern eksisterende protokol først.</t>
  </si>
  <si>
    <t>I viser arbejdslister og undersøgelseshistorik; U bruges til udførelse/dokumentation. XDS-dokumenter er som udgangspunkt synlige på booking-, visitations- og beskrivelseslister, men på andre lister kan udvidet søgning (CTRL-E) være nødvendig.</t>
  </si>
  <si>
    <t>I lister/historik; U udførelse; XDS; CTRL-E på øvrige lister.</t>
  </si>
  <si>
    <t>Udførende-guiden angiver ALT+1 til Start, ALT+2 til Stop og ALT+3 til Godkend undersøgelse. Godkendelse er et krav før der kan oprettes en beskrivelse. Beskriver-guiden angiver derefter Ny tom beskrivelse eller optageknappen på SpeechMike for at starte en ny beskrivelse.</t>
  </si>
  <si>
    <t>ALT+1, ALT+2, ALT+3; godkendelse før beskrivelse; Ny tom beskrivelse/SpeechMike.</t>
  </si>
  <si>
    <t>Det afhænger af, hvordan henvisningen kom ind. Udførende-guiden angiver, at henvisninger med prioritetsniveau Haste normalt får RIS Hastemarkering automatisk. Hvis den er sendt med anden prioritet, men nu skal udføres akut, kan man sætte hastemarkering i IDS7. Protokollering-guiden angiver, at man normalt ikke behøver ændre henvisers prioritet; Haste-markering er en særskilt funktion. Afklar henvisers nuværende prioritet og den konkrete arbejdsgang.</t>
  </si>
  <si>
    <t>Differentier modtaget Haste og manuelt markeret hastebehov; undgå automatisk ændring af henvisers prioritet.</t>
  </si>
  <si>
    <t>Q Guide_Udførende.docx | Q Guide_Protokollering.docx</t>
  </si>
  <si>
    <t>Ikke mødt kan sættes samme døgn og bliver automatisk til Patient udeblevet omkring kl. 04.00. Skal det registreres dagen efter, bruges Annuller undersøgelse &gt; Patient udeblevet.</t>
  </si>
  <si>
    <t>Samme døgn Ikke mødt; ca. 04.00; næste døgn Annuller &gt; Patient udeblevet.</t>
  </si>
  <si>
    <t>Ved afbrudt undersøgelse tilføjes journalnoten Afbrudt undersøgelse (patient eller apparatur). Ved allergisk reaktion tilføjes journalnoten Allergisk reaktion og CAVE dokumenteres i SP. Noterne kan medtages som standard i beskrivelsen.</t>
  </si>
  <si>
    <t>Relevante journalnoter; allergisk reaktion også CAVE i SP.</t>
  </si>
  <si>
    <t>Nej. Guiden angiver, at et signeret Lægemiddel ikke kan redigeres; det kan kun gøres ugyldigt. Andre dokumenterede oplysninger kan redigeres indtil status Afsluttet.</t>
  </si>
  <si>
    <t>Signeret Lægemiddel kun ugyldiggøres; øvrige data til Afsluttet.</t>
  </si>
  <si>
    <t>Sæt flaget Til systemadministrator og skriv i henvisningsnoterne, hvad der er galt. Flaget bringer undersøgelsen på listen til systemadministrator.</t>
  </si>
  <si>
    <t>Sæt flag; beskriv problemet i henvisningsnoter.</t>
  </si>
  <si>
    <t>ABSTAIN</t>
  </si>
  <si>
    <t>Den præcise SQL-forespørgsel fremgår ikke af de inkluderede Quick Guides.</t>
  </si>
  <si>
    <t>Korrekt at afstå; henvis evt. til behov for opdateret autoritativ kilde.</t>
  </si>
  <si>
    <t>INSUFFICIENT</t>
  </si>
  <si>
    <t>N/A</t>
  </si>
  <si>
    <t>Afstå; ingen opfundne værdier</t>
  </si>
  <si>
    <t>Samlet korpus af 8 medtagne Quick Guides</t>
  </si>
  <si>
    <t>Guiden oplyser ikke et konkret aktuelt BAM-ID.</t>
  </si>
  <si>
    <t>Materialet oplyser ikke produktionsmiljøets aktuelle versionsdato og godkendte ejer.</t>
  </si>
  <si>
    <t>Dokumenterne indeholder ingen realtidsdata om ledige tider.</t>
  </si>
  <si>
    <t>Kritisk</t>
  </si>
  <si>
    <t>Genvejsoversigten dokumenterer ikke aktuel installeret build/version.</t>
  </si>
  <si>
    <t>Guiden indeholder ikke aktuelle deltageroplysninger.</t>
  </si>
  <si>
    <t>Guiden dokumenterer ikke patientspecifik klinisk dosering.</t>
  </si>
  <si>
    <t>Quick Guides indeholder ingen ajourført telefon-/vagtliste.</t>
  </si>
  <si>
    <t>Evidence-ID</t>
  </si>
  <si>
    <t>Kildedokument</t>
  </si>
  <si>
    <t>Kildeafsnit</t>
  </si>
  <si>
    <t>Gold passage / evidensnote (IKKE ordret citat)</t>
  </si>
  <si>
    <t>Side (efter verifikation)</t>
  </si>
  <si>
    <t>Corpus chunk ID (CIMT)</t>
  </si>
  <si>
    <t>Reviewstatus</t>
  </si>
  <si>
    <t>Evidenstype</t>
  </si>
  <si>
    <t>GS-001-E01</t>
  </si>
  <si>
    <t>Vælg arbejdslistegruppe</t>
  </si>
  <si>
    <t>Kun V2-opsummering, IKKE ordret citat: Relevant gruppe i venstre fane; Alle arbejdslister; brug de opsatte grupper.</t>
  </si>
  <si>
    <t>AFVENTER_PASSAGEVERIFIKATION</t>
  </si>
  <si>
    <t>KILDEAFSNIT</t>
  </si>
  <si>
    <t>GS-002-E01</t>
  </si>
  <si>
    <t>Søgning via søgelinje / Søgepanel / Filtrering på kolonner / Vælg (evt.) hurtigfilter</t>
  </si>
  <si>
    <t>Kun V2-opsummering, IKKE ordret citat: Undersøg søgebehovet; foreslå relevant mekanisme; advar om summering ved flere hurtigfiltre.</t>
  </si>
  <si>
    <t>GS-003-E01</t>
  </si>
  <si>
    <t>Søgning via søgelinje (CTRL-G)</t>
  </si>
  <si>
    <t>Kun V2-opsummering, IKKE ordret citat: CTRL-G; * kan ikke stå først i denne søgelinje.</t>
  </si>
  <si>
    <t>GS-004-E01</t>
  </si>
  <si>
    <t>Søgning via søgelinje (CTRL-G) / Søgepanel (CTRL-F) / Filtrering på kolonner</t>
  </si>
  <si>
    <t>Kun V2-opsummering, IKKE ordret citat: Rigtigt valg af alle tre søgemetoder og korrekt skelnen mellem dem.</t>
  </si>
  <si>
    <t>GS-005-E01</t>
  </si>
  <si>
    <t>Filtrering på kolonner</t>
  </si>
  <si>
    <t>Kun V2-opsummering, IKKE ordret citat: * og |; eksempel *abd|*cer; ELLER-betydning.</t>
  </si>
  <si>
    <t>GS-006-E01</t>
  </si>
  <si>
    <t>Nulstil kolonneopsætning og -sortering</t>
  </si>
  <si>
    <t>Kun V2-opsummering, IKKE ordret citat: Højreklik; Nulstil kolonner og sortering; skeln fra Nulstil sortering.</t>
  </si>
  <si>
    <t>GS-007-E01</t>
  </si>
  <si>
    <t>Opret egen arbejdsliste</t>
  </si>
  <si>
    <t>Kun V2-opsummering, IKKE ordret citat: Afklar formålet; fraråd erstatning af normale lister; nævn hvor personlige/statiske lister oprettes.</t>
  </si>
  <si>
    <t>GS-008-E01</t>
  </si>
  <si>
    <t>Typer af skrivelister &gt; Allokeret til mig</t>
  </si>
  <si>
    <t>Kun V2-opsummering, IKKE ordret citat: Reviewer/korrigering; egne kladder; ikke endeligt signerede som granskende læge.</t>
  </si>
  <si>
    <t>GS-009-E01</t>
  </si>
  <si>
    <t>Godkend undersøgelse</t>
  </si>
  <si>
    <t>Kun V2-opsummering, IKKE ordret citat: Godkendelse som forudsætning; report-scope; til-/fravalg; grøn aktuel må ikke være fravalgt.</t>
  </si>
  <si>
    <t>GS-009-E02</t>
  </si>
  <si>
    <t>Hvilke undersøgelser indgår i beskrivelsen</t>
  </si>
  <si>
    <t>GS-010-E01</t>
  </si>
  <si>
    <t>Kun V2-opsummering, IKKE ordret citat: Angiv mindst to dokumenterede mulige forhold; efterspørg relevant status; undgå skråsikker diagnose.</t>
  </si>
  <si>
    <t>GS-010-E02</t>
  </si>
  <si>
    <t>Hvilke undersøgelser indgår i beskrivelsen &gt; tip</t>
  </si>
  <si>
    <t>GS-011-E01</t>
  </si>
  <si>
    <t>Tilføj yderligere undersøgelser til beskrivelse</t>
  </si>
  <si>
    <t>Kun V2-opsummering, IKKE ordret citat: Før start; drag-and-drop; samlet beskrivelse med fælles svarafsendelse.</t>
  </si>
  <si>
    <t>GS-012-E01</t>
  </si>
  <si>
    <t>Beskrivelse (Enter)</t>
  </si>
  <si>
    <t>Kun V2-opsummering, IKKE ordret citat: Enter til start; gem-ikon; tekst ud over skabelon kræves.</t>
  </si>
  <si>
    <t>GS-012-E02</t>
  </si>
  <si>
    <t>Start beskrivelse / Gem som kladde</t>
  </si>
  <si>
    <t>GS-013-E01</t>
  </si>
  <si>
    <t>Til gennemgang (med reviewer)</t>
  </si>
  <si>
    <t>Kun V2-opsummering, IKKE ordret citat: Reviewer vælges; sidst anvendte bibeholdes; fjern manuelt.</t>
  </si>
  <si>
    <t>GS-014-E01</t>
  </si>
  <si>
    <t>Til korrigering</t>
  </si>
  <si>
    <t>Kun V2-opsummering, IKKE ordret citat: Kun efter Til gennemgang; feedback; Kræver bekræftelse.</t>
  </si>
  <si>
    <t>GS-015-E01</t>
  </si>
  <si>
    <t>Gem som foreløbig / Signer endelig / Beskrivelses-status</t>
  </si>
  <si>
    <t>Kun V2-opsummering, IKKE ordret citat: Foreløbig SP; endelig SP og MedCom; de to knapvalg.</t>
  </si>
  <si>
    <t>GS-016-E01</t>
  </si>
  <si>
    <t>Flere brugere aktive på samme undersøgelse</t>
  </si>
  <si>
    <t>Kun V2-opsummering, IKKE ordret citat: Skeln mellem øje/læsemarkering og advarsel ved beskrivelsesstart; stop ved advarsel.</t>
  </si>
  <si>
    <t>GS-017-E01</t>
  </si>
  <si>
    <t>Åbne billedområdet</t>
  </si>
  <si>
    <t>Kun V2-opsummering, IKKE ordret citat: Dobbeltklik kun til åbning/skift aktuel undersøgelse; enkeltklik ved patientsift; CTRL+Højre næste.</t>
  </si>
  <si>
    <t>GS-017-E02</t>
  </si>
  <si>
    <t>Navigering</t>
  </si>
  <si>
    <t>GS-018-E01</t>
  </si>
  <si>
    <t>Aktuelle undersøgelse</t>
  </si>
  <si>
    <t>Kun V2-opsummering, IKKE ordret citat: Grøn i informationsvindue og demografisk layout.</t>
  </si>
  <si>
    <t>GS-019-E01</t>
  </si>
  <si>
    <t>Nulstil ændringer i aktuel/alle serier; Displayprotokol markeret med *</t>
  </si>
  <si>
    <t>Kun V2-opsummering, IKKE ordret citat: CTRL+R ét billede/serie; CTRL+SHIFT+R alle; CTRL+ALT+R præsentation; skel mellem scope.</t>
  </si>
  <si>
    <t>GS-019-E02</t>
  </si>
  <si>
    <t>Nulstil og slet</t>
  </si>
  <si>
    <t>GS-020-E01</t>
  </si>
  <si>
    <t>Genoptaget præsentation / Gem visning og præsentationer (udkast)</t>
  </si>
  <si>
    <t>Kun V2-opsummering, IKKE ordret citat: Spørg om personlig genåbning vs deling; genoptaget præsentation gemmes automatisk; udkast skal markeres.</t>
  </si>
  <si>
    <t>GS-021-E01</t>
  </si>
  <si>
    <t>Displayprotokol markeret med *</t>
  </si>
  <si>
    <t>Kun V2-opsummering, IKKE ordret citat: * viser tilpasning; nulstilling Fil &gt; Nulstil præsentation / CTRL-ALT-R.</t>
  </si>
  <si>
    <t>GS-022-E01</t>
  </si>
  <si>
    <t>Skift viste serier (drag and drop) / (menuvalg)</t>
  </si>
  <si>
    <t>Kun V2-opsummering, IKKE ordret citat: Drag-and-drop til viewport eller pil ved serienavn.</t>
  </si>
  <si>
    <t>GS-023-E01</t>
  </si>
  <si>
    <t>Nøglebilleder/serier</t>
  </si>
  <si>
    <t>Kun V2-opsummering, IKKE ordret citat: Automatisk ved mål; fjernes ved sletning; kan oprettes manuelt.</t>
  </si>
  <si>
    <t>GS-024-E01</t>
  </si>
  <si>
    <t>Synkronisering mellem IDS7 og RIS / Booking af undersøgelse</t>
  </si>
  <si>
    <t>Kun V2-opsummering, IKKE ordret citat: RIS-booking versus direkte akut IDS7-booking; IDS7 reserverer ikke kalenderblok; korrekt rum.</t>
  </si>
  <si>
    <t>GS-024-E02</t>
  </si>
  <si>
    <t>Akutte undersøgelser (bookes i IDS7)</t>
  </si>
  <si>
    <t>GS-025-E01</t>
  </si>
  <si>
    <t>Find næste ledige tid</t>
  </si>
  <si>
    <t>Kun V2-opsummering, IKKE ordret citat: Efterspørg hvilken kalender; forklar begge dokumenterede betydninger; ingen garanti om ledig tid.</t>
  </si>
  <si>
    <t>GS-025-E02</t>
  </si>
  <si>
    <t>Bladre mellem konferencedatoer</t>
  </si>
  <si>
    <t>GS-026-E01</t>
  </si>
  <si>
    <t>Book flere undersøgelser samtidigt med reduceret tid</t>
  </si>
  <si>
    <t>Kun V2-opsummering, IKKE ordret citat: 3 × mindst 5 minutter = mindst 15 minutter; Indstil for alle.</t>
  </si>
  <si>
    <t>GS-027-E01</t>
  </si>
  <si>
    <t>Henvisningsstatus Book senere dato</t>
  </si>
  <si>
    <t>Kun V2-opsummering, IKKE ordret citat: Henv. status; dato; midlertidigt væk; 1-2 måneder før (lokal opsætning).</t>
  </si>
  <si>
    <t>GS-028-E01</t>
  </si>
  <si>
    <t>Mangler information</t>
  </si>
  <si>
    <t>Kun V2-opsummering, IKKE ordret citat: Visitation: notér mangler og sæt status; booking: administrative opgaver til opfølgning.</t>
  </si>
  <si>
    <t>GS-028-E02</t>
  </si>
  <si>
    <t>Henvisningsstatus 'Mangler information' / Administrative opgaver</t>
  </si>
  <si>
    <t>GS-029-E01</t>
  </si>
  <si>
    <t>Fjern undersøgelse fra henvisning / Annuller undersøgelse;</t>
  </si>
  <si>
    <t>Kun V2-opsummering, IKKE ordret citat: Fjern ingen SP-besked; annuller med årsag giver typisk SP-besked; undtagelser nævnes.</t>
  </si>
  <si>
    <t>GS-029-E02</t>
  </si>
  <si>
    <t>Fjern undersøgelse fra henvisning / Afvis/annuller undersøgelse</t>
  </si>
  <si>
    <t>GS-030-E01</t>
  </si>
  <si>
    <t>Kalender – Book hvis der ikke er tilgængelige tidsblokke</t>
  </si>
  <si>
    <t>Kun V2-opsummering, IKKE ordret citat: IDS7 reserverer ikke kalenderplads; alternativ via Kalender &gt; Kommando.</t>
  </si>
  <si>
    <t>GS-031-E01</t>
  </si>
  <si>
    <t>Book serie-undersøgelse til forskellige rum eller over flere dage med højreklikmetode (KFNM)</t>
  </si>
  <si>
    <t>Kun V2-opsummering, IKKE ordret citat: Delundersøgelse ad gangen; højreklik tid; Book/ALT-B.</t>
  </si>
  <si>
    <t>GS-032-E01</t>
  </si>
  <si>
    <t>Værktøjer MPR</t>
  </si>
  <si>
    <t>Kun V2-opsummering, IKKE ordret citat: CTRL-M MPR; CTRL-T 3D.</t>
  </si>
  <si>
    <t>GS-033-E01</t>
  </si>
  <si>
    <t>Annotation og mål</t>
  </si>
  <si>
    <t>Kun V2-opsummering, IKKE ordret citat: L, R, T med korrekte funktioner.</t>
  </si>
  <si>
    <t>GS-034-E01</t>
  </si>
  <si>
    <t>Vinduer</t>
  </si>
  <si>
    <t>Kun V2-opsummering, IKKE ordret citat: I, U, C, M i korrekt rækkefølge.</t>
  </si>
  <si>
    <t>GS-035-E01</t>
  </si>
  <si>
    <t>Kun V2-opsummering, IKKE ordret citat: DEL ét valgt mål, SHIFT+DEL al grafik, CTRL+R aktuelle serie og CTRL+SHIFT+R alle serier.</t>
  </si>
  <si>
    <t>GS-035-E02</t>
  </si>
  <si>
    <t>Fjern alle mål/annotationer / Nulstil ændringer</t>
  </si>
  <si>
    <t>GS-036-E01</t>
  </si>
  <si>
    <t>Kun V2-opsummering, IKKE ordret citat: Fed skrift = konferencedato; klik dato.</t>
  </si>
  <si>
    <t>GS-037-E01</t>
  </si>
  <si>
    <t>Konferencerækkefølge</t>
  </si>
  <si>
    <t>Kun V2-opsummering, IKKE ordret citat: Drag-and-drop; arbejdslisterækkefølge-kolonne.</t>
  </si>
  <si>
    <t>GS-038-E01</t>
  </si>
  <si>
    <t>Konferencekategorier</t>
  </si>
  <si>
    <t>Kun V2-opsummering, IKKE ordret citat: A-H generiske; lokal aftale; sortering.</t>
  </si>
  <si>
    <t>GS-039-E01</t>
  </si>
  <si>
    <t>Markere som demonstreret</t>
  </si>
  <si>
    <t>Kun V2-opsummering, IKKE ordret citat: CTRL-A/multimarkering; højreklik &gt; Konference &gt; Demonstreret.</t>
  </si>
  <si>
    <t>GS-040-E01</t>
  </si>
  <si>
    <t>Tilføj undersøgelse til konference / Fjern undersøgelse fra konference;</t>
  </si>
  <si>
    <t>Kun V2-opsummering, IKKE ordret citat: Højreklik-mulighed; CTRL+K; DELETE/menumulighed ved fjern.</t>
  </si>
  <si>
    <t>GS-040-E02</t>
  </si>
  <si>
    <t>Diverse billedværktøjer / Informationsvindue</t>
  </si>
  <si>
    <t>GS-041-E01</t>
  </si>
  <si>
    <t>Konference opfølgning/kommentar</t>
  </si>
  <si>
    <t>Kun V2-opsummering, IKKE ordret citat: Undersøgelseslisten, ikke konferencelisten; Indstil og Ryd opfølgning.</t>
  </si>
  <si>
    <t>GS-042-E01</t>
  </si>
  <si>
    <t>Undersøgelser springes over på konferencer (øje-/læsemarkering) / Markere som udelukket</t>
  </si>
  <si>
    <t>Kun V2-opsummering, IKKE ordret citat: Forklar sandsynlig mulighed; afklar læsemarkering; nævn at indstillingsændringer påvirker andre lister.</t>
  </si>
  <si>
    <t>GS-043-E01</t>
  </si>
  <si>
    <t>Visitationstrin</t>
  </si>
  <si>
    <t>Kun V2-opsummering, IKKE ordret citat: Arbejdsliste; markering; prioriteringskode; Angivet-dato; protokol; signer.</t>
  </si>
  <si>
    <t>GS-044-E01</t>
  </si>
  <si>
    <t>Prioriteringskode</t>
  </si>
  <si>
    <t>Kun V2-opsummering, IKKE ordret citat: Status Prioriteret; uden protokol bliver på listen.</t>
  </si>
  <si>
    <t>GS-045-E01</t>
  </si>
  <si>
    <t>Visitation på pause / Mangler information;</t>
  </si>
  <si>
    <t>Kun V2-opsummering, IKKE ordret citat: Rigtig ansvarsforskel, listeadfærd og bookingens administrative opfølgning.</t>
  </si>
  <si>
    <t>GS-045-E02</t>
  </si>
  <si>
    <t>Administrative opgaver</t>
  </si>
  <si>
    <t>GS-046-E01</t>
  </si>
  <si>
    <t>Automatisk udskiftning af undersøgelse / Manuel udskiftning</t>
  </si>
  <si>
    <t>Kun V2-opsummering, IKKE ordret citat: Én tilknytning = automatisk; flere = vælg manuelt.</t>
  </si>
  <si>
    <t>GS-047-E01</t>
  </si>
  <si>
    <t>Manuel udskiftning af undersøgelse &gt; obs</t>
  </si>
  <si>
    <t>Kun V2-opsummering, IKKE ordret citat: Udskift i IDS7; undgå add/remove; SP-data kan gå tabt; ikke i RIS.</t>
  </si>
  <si>
    <t>GS-048-E01</t>
  </si>
  <si>
    <t>Kommentar til booking / Kommentar til udførende personale</t>
  </si>
  <si>
    <t>Kun V2-opsummering, IKKE ordret citat: Protokoltekst over stiplet linje; booking under protokolændring.</t>
  </si>
  <si>
    <t>GS-049-E01</t>
  </si>
  <si>
    <t>Ændre tildelt protokol</t>
  </si>
  <si>
    <t>Kun V2-opsummering, IKKE ordret citat: Rediger; fjern eksisterende protokol først.</t>
  </si>
  <si>
    <t>GS-050-E01</t>
  </si>
  <si>
    <t>Informationsvindue og undersøgelsesvindue / Vedhæftede dokumenter</t>
  </si>
  <si>
    <t>Kun V2-opsummering, IKKE ordret citat: I lister/historik; U udførelse; XDS; CTRL-E på øvrige lister.</t>
  </si>
  <si>
    <t>GS-051-E01</t>
  </si>
  <si>
    <t>Start undersøgelse / Stop undersøgelse / Godkend undersøgelse;</t>
  </si>
  <si>
    <t>Kun V2-opsummering, IKKE ordret citat: ALT+1, ALT+2, ALT+3; godkendelse før beskrivelse; Ny tom beskrivelse/SpeechMike.</t>
  </si>
  <si>
    <t>GS-051-E02</t>
  </si>
  <si>
    <t>Start beskrivelse</t>
  </si>
  <si>
    <t>GS-052-E01</t>
  </si>
  <si>
    <t>Akutte henvisninger på arbejdslister;</t>
  </si>
  <si>
    <t>Kun V2-opsummering, IKKE ordret citat: Differentier modtaget Haste og manuelt markeret hastebehov; undgå automatisk ændring af henvisers prioritet.</t>
  </si>
  <si>
    <t>GS-052-E02</t>
  </si>
  <si>
    <t>Hastemarkering / Ændre henvisers prioritet</t>
  </si>
  <si>
    <t>GS-053-E01</t>
  </si>
  <si>
    <t>Ikke mødt/Udeblevet</t>
  </si>
  <si>
    <t>Kun V2-opsummering, IKKE ordret citat: Samme døgn Ikke mødt; ca. 04.00; næste døgn Annuller &gt; Patient udeblevet.</t>
  </si>
  <si>
    <t>GS-054-E01</t>
  </si>
  <si>
    <t>Afbrudt undersøgelse / Allergisk reaktion</t>
  </si>
  <si>
    <t>Kun V2-opsummering, IKKE ordret citat: Relevante journalnoter; allergisk reaktion også CAVE i SP.</t>
  </si>
  <si>
    <t>GS-055-E01</t>
  </si>
  <si>
    <t>Redigér dokumenterede oplysninger</t>
  </si>
  <si>
    <t>Kun V2-opsummering, IKKE ordret citat: Signeret Lægemiddel kun ugyldiggøres; øvrige data til Afsluttet.</t>
  </si>
  <si>
    <t>GS-056-E01</t>
  </si>
  <si>
    <t>Flag Til systemadministrator</t>
  </si>
  <si>
    <t>Kun V2-opsummering, IKKE ordret citat: Sæt flag; beskriv problemet i henvisningsnoter.</t>
  </si>
  <si>
    <t>GS-057-E01</t>
  </si>
  <si>
    <t>Negativ test – samlet Quick Guide-korpus</t>
  </si>
  <si>
    <t>Negativ test. Der forventes ingen dokumenteret kildepassage; fravær skal verificeres mod FROSSET korpus.</t>
  </si>
  <si>
    <t>AFVENTER_KORPUSKONTROL</t>
  </si>
  <si>
    <t>NEGATIV_KORPUSKONTROL</t>
  </si>
  <si>
    <t>GS-058-E01</t>
  </si>
  <si>
    <t>GS-059-E01</t>
  </si>
  <si>
    <t>GS-060-E01</t>
  </si>
  <si>
    <t>GS-061-E01</t>
  </si>
  <si>
    <t>GS-062-E01</t>
  </si>
  <si>
    <t>GS-063-E01</t>
  </si>
  <si>
    <t>GS-064-E01</t>
  </si>
  <si>
    <t>Claim-ID</t>
  </si>
  <si>
    <t>Claim-type</t>
  </si>
  <si>
    <t>Claim</t>
  </si>
  <si>
    <t>Required?</t>
  </si>
  <si>
    <t>Gold Evidence-ID(s) – foreløbig kobling</t>
  </si>
  <si>
    <t>Severity if violated</t>
  </si>
  <si>
    <t>Kildekoblingens status</t>
  </si>
  <si>
    <t>GS-001-C01</t>
  </si>
  <si>
    <t>REQUIRED</t>
  </si>
  <si>
    <t>Relevant gruppe i venstre fane</t>
  </si>
  <si>
    <t>MEDIUM</t>
  </si>
  <si>
    <t>Afventer kilde/claim-match</t>
  </si>
  <si>
    <t>GS-001-C02</t>
  </si>
  <si>
    <t>Alle arbejdslister</t>
  </si>
  <si>
    <t>GS-001-C03</t>
  </si>
  <si>
    <t>brug de opsatte grupper.</t>
  </si>
  <si>
    <t>GS-001-C04</t>
  </si>
  <si>
    <t>FORBIDDEN</t>
  </si>
  <si>
    <t>Ingen udokumenterede tillæg.</t>
  </si>
  <si>
    <t>GS-002-C01</t>
  </si>
  <si>
    <t>Undersøg søgebehovet</t>
  </si>
  <si>
    <t>GS-002-C02</t>
  </si>
  <si>
    <t>foreslå relevant mekanisme</t>
  </si>
  <si>
    <t>GS-002-C03</t>
  </si>
  <si>
    <t>advar om summering ved flere hurtigfiltre.</t>
  </si>
  <si>
    <t>GS-002-C04</t>
  </si>
  <si>
    <t>Må ikke vælge én bestemt søgemetode som eneste mulige uden kontekst eller hævde, at to hurtigfiltre automatisk er OG.</t>
  </si>
  <si>
    <t>GS-003-C01</t>
  </si>
  <si>
    <t>CTRL-G</t>
  </si>
  <si>
    <t>GS-003-C02</t>
  </si>
  <si>
    <t>* kan ikke stå først i denne søgelinje.</t>
  </si>
  <si>
    <t>GS-003-C03</t>
  </si>
  <si>
    <t>Må ikke forveksle søgelinjens wildcard-regel med kolonnefiltrering.</t>
  </si>
  <si>
    <t>GS-004-C01</t>
  </si>
  <si>
    <t>GS-004-C02</t>
  </si>
  <si>
    <t>Må ikke blande søgelinjens wildcard-regler ukritisk sammen med kolonnefiltreringen.</t>
  </si>
  <si>
    <t>GS-005-C01</t>
  </si>
  <si>
    <t>* og |</t>
  </si>
  <si>
    <t>GS-005-C02</t>
  </si>
  <si>
    <t>eksempel *abd|*cer</t>
  </si>
  <si>
    <t>GS-005-C03</t>
  </si>
  <si>
    <t>ELLER-betydning.</t>
  </si>
  <si>
    <t>GS-005-C04</t>
  </si>
  <si>
    <t>GS-006-C01</t>
  </si>
  <si>
    <t>Højreklik</t>
  </si>
  <si>
    <t>GS-006-C02</t>
  </si>
  <si>
    <t>Nulstil kolonner og sortering</t>
  </si>
  <si>
    <t>GS-006-C03</t>
  </si>
  <si>
    <t>skeln fra Nulstil sortering.</t>
  </si>
  <si>
    <t>GS-006-C04</t>
  </si>
  <si>
    <t>GS-007-C01</t>
  </si>
  <si>
    <t>Afklar formålet</t>
  </si>
  <si>
    <t>GS-007-C02</t>
  </si>
  <si>
    <t>fraråd erstatning af normale lister</t>
  </si>
  <si>
    <t>GS-007-C03</t>
  </si>
  <si>
    <t>nævn hvor personlige/statiske lister oprettes.</t>
  </si>
  <si>
    <t>GS-007-C04</t>
  </si>
  <si>
    <t>Må ikke anbefale private lister som generel erstatning for normale driftslister.</t>
  </si>
  <si>
    <t>GS-008-C01</t>
  </si>
  <si>
    <t>Reviewer/korrigering</t>
  </si>
  <si>
    <t>GS-008-C02</t>
  </si>
  <si>
    <t>egne kladder</t>
  </si>
  <si>
    <t>GS-008-C03</t>
  </si>
  <si>
    <t>ikke endeligt signerede som granskende læge.</t>
  </si>
  <si>
    <t>GS-008-C04</t>
  </si>
  <si>
    <t>GS-009-C01</t>
  </si>
  <si>
    <t>Godkendelse som forudsætning</t>
  </si>
  <si>
    <t>GS-009-E01; GS-009-E02</t>
  </si>
  <si>
    <t>HIGH</t>
  </si>
  <si>
    <t>GS-009-C02</t>
  </si>
  <si>
    <t>report-scope</t>
  </si>
  <si>
    <t>GS-009-C03</t>
  </si>
  <si>
    <t>til-/fravalg</t>
  </si>
  <si>
    <t>GS-009-C04</t>
  </si>
  <si>
    <t>grøn aktuel må ikke være fravalgt.</t>
  </si>
  <si>
    <t>GS-009-C05</t>
  </si>
  <si>
    <t>Må ikke sige, at samtlige undersøgelser automatisk skal med, eller at beskrivelse kan startes uden godkendelse.</t>
  </si>
  <si>
    <t>GS-010-C01</t>
  </si>
  <si>
    <t>Angiv mindst to dokumenterede mulige forhold</t>
  </si>
  <si>
    <t>GS-010-E01; GS-010-E02</t>
  </si>
  <si>
    <t>GS-010-C02</t>
  </si>
  <si>
    <t>efterspørg relevant status</t>
  </si>
  <si>
    <t>GS-010-C03</t>
  </si>
  <si>
    <t>undgå skråsikker diagnose.</t>
  </si>
  <si>
    <t>GS-010-C04</t>
  </si>
  <si>
    <t>Må ikke præsentere én bestemt årsag som sikkert konstateret.</t>
  </si>
  <si>
    <t>GS-011-C01</t>
  </si>
  <si>
    <t>Før start</t>
  </si>
  <si>
    <t>GS-011-C02</t>
  </si>
  <si>
    <t>drag-and-drop</t>
  </si>
  <si>
    <t>GS-011-C03</t>
  </si>
  <si>
    <t>samlet beskrivelse med fælles svarafsendelse.</t>
  </si>
  <si>
    <t>GS-011-C04</t>
  </si>
  <si>
    <t>GS-012-C01</t>
  </si>
  <si>
    <t>Enter til start</t>
  </si>
  <si>
    <t>GS-012-E01; GS-012-E02</t>
  </si>
  <si>
    <t>GS-012-C02</t>
  </si>
  <si>
    <t>gem-ikon</t>
  </si>
  <si>
    <t>GS-012-C03</t>
  </si>
  <si>
    <t>tekst ud over skabelon kræves.</t>
  </si>
  <si>
    <t>GS-012-C04</t>
  </si>
  <si>
    <t>Må ikke hævde, at en tom skabelon kan gemmes som kladde.</t>
  </si>
  <si>
    <t>GS-013-C01</t>
  </si>
  <si>
    <t>Reviewer vælges</t>
  </si>
  <si>
    <t>GS-013-C02</t>
  </si>
  <si>
    <t>sidst anvendte bibeholdes</t>
  </si>
  <si>
    <t>GS-013-C03</t>
  </si>
  <si>
    <t>fjern manuelt.</t>
  </si>
  <si>
    <t>GS-013-C04</t>
  </si>
  <si>
    <t>Må ikke hævde at reviewer nulstilles automatisk.</t>
  </si>
  <si>
    <t>GS-014-C01</t>
  </si>
  <si>
    <t>Kun efter Til gennemgang</t>
  </si>
  <si>
    <t>GS-014-C02</t>
  </si>
  <si>
    <t>feedback</t>
  </si>
  <si>
    <t>GS-014-C03</t>
  </si>
  <si>
    <t>Kræver bekræftelse.</t>
  </si>
  <si>
    <t>GS-014-C04</t>
  </si>
  <si>
    <t>GS-015-C01</t>
  </si>
  <si>
    <t>Foreløbig SP</t>
  </si>
  <si>
    <t>GS-015-C02</t>
  </si>
  <si>
    <t>endelig SP og MedCom</t>
  </si>
  <si>
    <t>GS-015-C03</t>
  </si>
  <si>
    <t>de to knapvalg.</t>
  </si>
  <si>
    <t>GS-015-C04</t>
  </si>
  <si>
    <t>GS-016-C01</t>
  </si>
  <si>
    <t>Skeln mellem øje/læsemarkering og advarsel ved beskrivelsesstart</t>
  </si>
  <si>
    <t>GS-016-C02</t>
  </si>
  <si>
    <t>stop ved advarsel.</t>
  </si>
  <si>
    <t>GS-016-C03</t>
  </si>
  <si>
    <t>Må ikke anbefale at ignorere advarslen og starte alligevel.</t>
  </si>
  <si>
    <t>GS-017-C01</t>
  </si>
  <si>
    <t>Dobbeltklik kun til åbning/skift aktuel undersøgelse</t>
  </si>
  <si>
    <t>GS-017-E01; GS-017-E02</t>
  </si>
  <si>
    <t>GS-017-C02</t>
  </si>
  <si>
    <t>enkeltklik ved patientsift</t>
  </si>
  <si>
    <t>GS-017-C03</t>
  </si>
  <si>
    <t>CTRL+Højre næste.</t>
  </si>
  <si>
    <t>GS-017-C04</t>
  </si>
  <si>
    <t>Må ikke anbefale dobbeltklik til alle almindelige navigationshandlinger.</t>
  </si>
  <si>
    <t>GS-018-C01</t>
  </si>
  <si>
    <t>GS-018-C02</t>
  </si>
  <si>
    <t>GS-019-C01</t>
  </si>
  <si>
    <t>CTRL+R ét billede/serie</t>
  </si>
  <si>
    <t>GS-019-E01; GS-019-E02</t>
  </si>
  <si>
    <t>GS-019-C02</t>
  </si>
  <si>
    <t>CTRL+SHIFT+R alle</t>
  </si>
  <si>
    <t>GS-019-C03</t>
  </si>
  <si>
    <t>CTRL+ALT+R præsentation</t>
  </si>
  <si>
    <t>GS-019-C04</t>
  </si>
  <si>
    <t>skel mellem scope.</t>
  </si>
  <si>
    <t>GS-019-C05</t>
  </si>
  <si>
    <t>Må ikke forveksle nulstilling af visning med sletning af alle annotationer.</t>
  </si>
  <si>
    <t>GS-020-C01</t>
  </si>
  <si>
    <t>Spørg om personlig genåbning vs deling</t>
  </si>
  <si>
    <t>GS-020-C02</t>
  </si>
  <si>
    <t>genoptaget præsentation gemmes automatisk</t>
  </si>
  <si>
    <t>GS-020-C03</t>
  </si>
  <si>
    <t>udkast skal markeres.</t>
  </si>
  <si>
    <t>GS-020-C04</t>
  </si>
  <si>
    <t>Må ikke påstå, at der altid skal trykkes Gem, eller præsentere udkastsafsnittet som godkendt procedure.</t>
  </si>
  <si>
    <t>GS-021-C01</t>
  </si>
  <si>
    <t>* viser tilpasning</t>
  </si>
  <si>
    <t>GS-021-C02</t>
  </si>
  <si>
    <t>nulstilling Fil &gt; Nulstil præsentation / CTRL-ALT-R.</t>
  </si>
  <si>
    <t>GS-021-C03</t>
  </si>
  <si>
    <t>GS-022-C01</t>
  </si>
  <si>
    <t>GS-022-C02</t>
  </si>
  <si>
    <t>GS-023-C01</t>
  </si>
  <si>
    <t>Automatisk ved mål</t>
  </si>
  <si>
    <t>GS-023-C02</t>
  </si>
  <si>
    <t>fjernes ved sletning</t>
  </si>
  <si>
    <t>GS-023-C03</t>
  </si>
  <si>
    <t>kan oprettes manuelt.</t>
  </si>
  <si>
    <t>GS-023-C04</t>
  </si>
  <si>
    <t>GS-024-C01</t>
  </si>
  <si>
    <t>RIS-booking versus direkte akut IDS7-booking</t>
  </si>
  <si>
    <t>GS-024-E01; GS-024-E02</t>
  </si>
  <si>
    <t>GS-024-C02</t>
  </si>
  <si>
    <t>IDS7 reserverer ikke kalenderblok</t>
  </si>
  <si>
    <t>GS-024-C03</t>
  </si>
  <si>
    <t>korrekt rum.</t>
  </si>
  <si>
    <t>GS-024-C04</t>
  </si>
  <si>
    <t>Må ikke hævde, at en booking i IDS7 automatisk reserverer RIS-kalendertid.</t>
  </si>
  <si>
    <t>GS-025-C01</t>
  </si>
  <si>
    <t>Efterspørg hvilken kalender</t>
  </si>
  <si>
    <t>GS-025-E01; GS-025-E02</t>
  </si>
  <si>
    <t>GS-025-C02</t>
  </si>
  <si>
    <t>forklar begge dokumenterede betydninger</t>
  </si>
  <si>
    <t>GS-025-C03</t>
  </si>
  <si>
    <t>ingen garanti om ledig tid.</t>
  </si>
  <si>
    <t>GS-025-C04</t>
  </si>
  <si>
    <t>Må ikke konkludere, at fed skrift betyder ledige tider.</t>
  </si>
  <si>
    <t>GS-026-C01</t>
  </si>
  <si>
    <t>3 × mindst 5 minutter = mindst 15 minutter</t>
  </si>
  <si>
    <t>GS-026-C02</t>
  </si>
  <si>
    <t>Indstil for alle.</t>
  </si>
  <si>
    <t>GS-026-C03</t>
  </si>
  <si>
    <t>GS-027-C01</t>
  </si>
  <si>
    <t>Henv. status</t>
  </si>
  <si>
    <t>GS-027-C02</t>
  </si>
  <si>
    <t>dato</t>
  </si>
  <si>
    <t>GS-027-C03</t>
  </si>
  <si>
    <t>midlertidigt væk</t>
  </si>
  <si>
    <t>GS-027-C04</t>
  </si>
  <si>
    <t>1-2 måneder før (lokal opsætning).</t>
  </si>
  <si>
    <t>GS-027-C05</t>
  </si>
  <si>
    <t>GS-028-C01</t>
  </si>
  <si>
    <t>Visitation: notér mangler og sæt status</t>
  </si>
  <si>
    <t>GS-028-E01; GS-028-E02</t>
  </si>
  <si>
    <t>GS-028-C02</t>
  </si>
  <si>
    <t>booking: administrative opgaver til opfølgning.</t>
  </si>
  <si>
    <t>GS-028-C03</t>
  </si>
  <si>
    <t>Må ikke sige, at henvisningen bliver liggende på visitationslisten under 'Mangler information'.</t>
  </si>
  <si>
    <t>GS-029-C01</t>
  </si>
  <si>
    <t>Fjern ingen SP-besked</t>
  </si>
  <si>
    <t>GS-029-E01; GS-029-E02</t>
  </si>
  <si>
    <t>GS-029-C02</t>
  </si>
  <si>
    <t>annuller med årsag giver typisk SP-besked</t>
  </si>
  <si>
    <t>GS-029-C03</t>
  </si>
  <si>
    <t>undtagelser nævnes.</t>
  </si>
  <si>
    <t>GS-029-C04</t>
  </si>
  <si>
    <t>Må ikke sidestille Fjern og Annuller eller udelade dokumenterede undtagelser.</t>
  </si>
  <si>
    <t>GS-030-C01</t>
  </si>
  <si>
    <t>IDS7 reserverer ikke kalenderplads</t>
  </si>
  <si>
    <t>GS-030-C02</t>
  </si>
  <si>
    <t>alternativ via Kalender &gt; Kommando.</t>
  </si>
  <si>
    <t>GS-030-C03</t>
  </si>
  <si>
    <t>GS-031-C01</t>
  </si>
  <si>
    <t>Delundersøgelse ad gangen</t>
  </si>
  <si>
    <t>GS-031-C02</t>
  </si>
  <si>
    <t>højreklik tid</t>
  </si>
  <si>
    <t>GS-031-C03</t>
  </si>
  <si>
    <t>Book/ALT-B.</t>
  </si>
  <si>
    <t>GS-031-C04</t>
  </si>
  <si>
    <t>GS-032-C01</t>
  </si>
  <si>
    <t>CTRL-M MPR</t>
  </si>
  <si>
    <t>GS-032-C02</t>
  </si>
  <si>
    <t>CTRL-T 3D.</t>
  </si>
  <si>
    <t>GS-032-C03</t>
  </si>
  <si>
    <t>GS-033-C01</t>
  </si>
  <si>
    <t>GS-033-C02</t>
  </si>
  <si>
    <t>GS-034-C01</t>
  </si>
  <si>
    <t>GS-034-C02</t>
  </si>
  <si>
    <t>GS-035-C01</t>
  </si>
  <si>
    <t>GS-035-E01; GS-035-E02</t>
  </si>
  <si>
    <t>GS-035-C02</t>
  </si>
  <si>
    <t>Må ikke anbefale sletning af grafik som middel til at nulstille zoom/W-L.</t>
  </si>
  <si>
    <t>GS-036-C01</t>
  </si>
  <si>
    <t>Fed skrift = konferencedato</t>
  </si>
  <si>
    <t>GS-036-C02</t>
  </si>
  <si>
    <t>klik dato.</t>
  </si>
  <si>
    <t>GS-036-C03</t>
  </si>
  <si>
    <t>GS-037-C01</t>
  </si>
  <si>
    <t>Drag-and-drop</t>
  </si>
  <si>
    <t>GS-037-C02</t>
  </si>
  <si>
    <t>arbejdslisterækkefølge-kolonne.</t>
  </si>
  <si>
    <t>GS-037-C03</t>
  </si>
  <si>
    <t>GS-038-C01</t>
  </si>
  <si>
    <t>A-H generiske</t>
  </si>
  <si>
    <t>GS-038-C02</t>
  </si>
  <si>
    <t>lokal aftale</t>
  </si>
  <si>
    <t>GS-038-C03</t>
  </si>
  <si>
    <t>sortering.</t>
  </si>
  <si>
    <t>GS-038-C04</t>
  </si>
  <si>
    <t>GS-039-C01</t>
  </si>
  <si>
    <t>CTRL-A/multimarkering</t>
  </si>
  <si>
    <t>GS-039-C02</t>
  </si>
  <si>
    <t>højreklik &gt; Konference &gt; Demonstreret.</t>
  </si>
  <si>
    <t>GS-039-C03</t>
  </si>
  <si>
    <t>GS-040-C01</t>
  </si>
  <si>
    <t>Højreklik-mulighed</t>
  </si>
  <si>
    <t>GS-040-E01; GS-040-E02</t>
  </si>
  <si>
    <t>GS-040-C02</t>
  </si>
  <si>
    <t>CTRL+K</t>
  </si>
  <si>
    <t>GS-040-C03</t>
  </si>
  <si>
    <t>DELETE/menumulighed ved fjern.</t>
  </si>
  <si>
    <t>GS-040-C04</t>
  </si>
  <si>
    <t>Må ikke omtale DELETE som generel sletning af patienten eller den underliggende undersøgelse.</t>
  </si>
  <si>
    <t>GS-041-C01</t>
  </si>
  <si>
    <t>Undersøgelseslisten, ikke konferencelisten</t>
  </si>
  <si>
    <t>GS-041-C02</t>
  </si>
  <si>
    <t>Indstil og Ryd opfølgning.</t>
  </si>
  <si>
    <t>GS-041-C03</t>
  </si>
  <si>
    <t>GS-042-C01</t>
  </si>
  <si>
    <t>Forklar sandsynlig mulighed</t>
  </si>
  <si>
    <t>GS-042-C02</t>
  </si>
  <si>
    <t>afklar læsemarkering</t>
  </si>
  <si>
    <t>GS-042-C03</t>
  </si>
  <si>
    <t>nævn at indstillingsændringer påvirker andre lister.</t>
  </si>
  <si>
    <t>GS-042-C04</t>
  </si>
  <si>
    <t>Må ikke påstå en sikker rodårsag eller anbefale ukritisk ændring af global brugerindstilling.</t>
  </si>
  <si>
    <t>GS-043-C01</t>
  </si>
  <si>
    <t>Arbejdsliste</t>
  </si>
  <si>
    <t>GS-043-C02</t>
  </si>
  <si>
    <t>markering</t>
  </si>
  <si>
    <t>GS-043-C03</t>
  </si>
  <si>
    <t>prioriteringskode</t>
  </si>
  <si>
    <t>GS-043-C04</t>
  </si>
  <si>
    <t>Angivet-dato</t>
  </si>
  <si>
    <t>GS-043-C05</t>
  </si>
  <si>
    <t>protokol</t>
  </si>
  <si>
    <t>GS-043-C06</t>
  </si>
  <si>
    <t>signer.</t>
  </si>
  <si>
    <t>GS-043-C07</t>
  </si>
  <si>
    <t>GS-044-C01</t>
  </si>
  <si>
    <t>Status Prioriteret</t>
  </si>
  <si>
    <t>GS-044-C02</t>
  </si>
  <si>
    <t>uden protokol bliver på listen.</t>
  </si>
  <si>
    <t>GS-044-C03</t>
  </si>
  <si>
    <t>GS-045-C01</t>
  </si>
  <si>
    <t>GS-045-E01; GS-045-E02</t>
  </si>
  <si>
    <t>GS-045-C02</t>
  </si>
  <si>
    <t>Må ikke hævde, at begge handlinger fjerner undersøgelsen fra visitationslisten.</t>
  </si>
  <si>
    <t>GS-046-C01</t>
  </si>
  <si>
    <t>Én tilknytning = automatisk</t>
  </si>
  <si>
    <t>GS-046-C02</t>
  </si>
  <si>
    <t>flere = vælg manuelt.</t>
  </si>
  <si>
    <t>GS-046-C03</t>
  </si>
  <si>
    <t>GS-047-C01</t>
  </si>
  <si>
    <t>Udskift i IDS7</t>
  </si>
  <si>
    <t>GS-047-C02</t>
  </si>
  <si>
    <t>undgå add/remove</t>
  </si>
  <si>
    <t>GS-047-C03</t>
  </si>
  <si>
    <t>SP-data kan gå tabt</t>
  </si>
  <si>
    <t>GS-047-C04</t>
  </si>
  <si>
    <t>ikke i RIS.</t>
  </si>
  <si>
    <t>GS-047-C05</t>
  </si>
  <si>
    <t>Må ikke anbefale RIS-udskiftning eller slet-og-tilføj.</t>
  </si>
  <si>
    <t>GS-048-C01</t>
  </si>
  <si>
    <t>Protokoltekst over stiplet linje</t>
  </si>
  <si>
    <t>GS-048-C02</t>
  </si>
  <si>
    <t>booking under protokolændring.</t>
  </si>
  <si>
    <t>GS-048-C03</t>
  </si>
  <si>
    <t>GS-049-C01</t>
  </si>
  <si>
    <t>Rediger</t>
  </si>
  <si>
    <t>GS-049-C02</t>
  </si>
  <si>
    <t>fjern eksisterende protokol først.</t>
  </si>
  <si>
    <t>GS-049-C03</t>
  </si>
  <si>
    <t>GS-050-C01</t>
  </si>
  <si>
    <t>I lister/historik</t>
  </si>
  <si>
    <t>GS-050-C02</t>
  </si>
  <si>
    <t>U udførelse</t>
  </si>
  <si>
    <t>GS-050-C03</t>
  </si>
  <si>
    <t>XDS</t>
  </si>
  <si>
    <t>GS-050-C04</t>
  </si>
  <si>
    <t>CTRL-E på øvrige lister.</t>
  </si>
  <si>
    <t>GS-050-C05</t>
  </si>
  <si>
    <t>GS-051-C01</t>
  </si>
  <si>
    <t>ALT+1, ALT+2, ALT+3</t>
  </si>
  <si>
    <t>GS-051-E01; GS-051-E02</t>
  </si>
  <si>
    <t>GS-051-C02</t>
  </si>
  <si>
    <t>godkendelse før beskrivelse</t>
  </si>
  <si>
    <t>GS-051-C03</t>
  </si>
  <si>
    <t>Ny tom beskrivelse/SpeechMike.</t>
  </si>
  <si>
    <t>GS-051-C04</t>
  </si>
  <si>
    <t>Må ikke udelade godkendelsen som nødvendig forudsætning.</t>
  </si>
  <si>
    <t>GS-052-C01</t>
  </si>
  <si>
    <t>Differentier modtaget Haste og manuelt markeret hastebehov</t>
  </si>
  <si>
    <t>GS-052-E01; GS-052-E02</t>
  </si>
  <si>
    <t>GS-052-C02</t>
  </si>
  <si>
    <t>undgå automatisk ændring af henvisers prioritet.</t>
  </si>
  <si>
    <t>GS-052-C03</t>
  </si>
  <si>
    <t>Må ikke anbefale at ændre henvisers prioritet som standardløsning.</t>
  </si>
  <si>
    <t>GS-053-C01</t>
  </si>
  <si>
    <t>Samme døgn Ikke mødt</t>
  </si>
  <si>
    <t>GS-053-C02</t>
  </si>
  <si>
    <t>ca. 04.00</t>
  </si>
  <si>
    <t>GS-053-C03</t>
  </si>
  <si>
    <t>næste døgn Annuller &gt; Patient udeblevet.</t>
  </si>
  <si>
    <t>GS-053-C04</t>
  </si>
  <si>
    <t>GS-054-C01</t>
  </si>
  <si>
    <t>Relevante journalnoter</t>
  </si>
  <si>
    <t>GS-054-C02</t>
  </si>
  <si>
    <t>allergisk reaktion også CAVE i SP.</t>
  </si>
  <si>
    <t>GS-054-C03</t>
  </si>
  <si>
    <t>GS-055-C01</t>
  </si>
  <si>
    <t>Signeret Lægemiddel kun ugyldiggøres</t>
  </si>
  <si>
    <t>GS-055-C02</t>
  </si>
  <si>
    <t>øvrige data til Afsluttet.</t>
  </si>
  <si>
    <t>GS-055-C03</t>
  </si>
  <si>
    <t>GS-056-C01</t>
  </si>
  <si>
    <t>Sæt flag</t>
  </si>
  <si>
    <t>GS-056-C02</t>
  </si>
  <si>
    <t>beskriv problemet i henvisningsnoter.</t>
  </si>
  <si>
    <t>GS-056-C03</t>
  </si>
  <si>
    <t>GS-057-C01</t>
  </si>
  <si>
    <t>Korrekt at afstå</t>
  </si>
  <si>
    <t>GS-057-C02</t>
  </si>
  <si>
    <t>henvis evt. til behov for opdateret autoritativ kilde.</t>
  </si>
  <si>
    <t>GS-057-C03</t>
  </si>
  <si>
    <t>Må ikke opfinde aktuelle værdier, identiteter, tider eller patientspecifikke instruktioner.</t>
  </si>
  <si>
    <t>GS-058-C01</t>
  </si>
  <si>
    <t>GS-058-C02</t>
  </si>
  <si>
    <t>GS-058-C03</t>
  </si>
  <si>
    <t>GS-059-C01</t>
  </si>
  <si>
    <t>GS-059-C02</t>
  </si>
  <si>
    <t>GS-059-C03</t>
  </si>
  <si>
    <t>GS-060-C01</t>
  </si>
  <si>
    <t>CRITICAL</t>
  </si>
  <si>
    <t>GS-060-C02</t>
  </si>
  <si>
    <t>GS-060-C03</t>
  </si>
  <si>
    <t>GS-061-C01</t>
  </si>
  <si>
    <t>GS-061-C02</t>
  </si>
  <si>
    <t>GS-061-C03</t>
  </si>
  <si>
    <t>GS-062-C01</t>
  </si>
  <si>
    <t>GS-062-C02</t>
  </si>
  <si>
    <t>GS-062-C03</t>
  </si>
  <si>
    <t>GS-063-C01</t>
  </si>
  <si>
    <t>GS-063-C02</t>
  </si>
  <si>
    <t>GS-063-C03</t>
  </si>
  <si>
    <t>GS-064-C01</t>
  </si>
  <si>
    <t>GS-064-C02</t>
  </si>
  <si>
    <t>GS-064-C03</t>
  </si>
  <si>
    <t>RAG-svar</t>
  </si>
  <si>
    <t>Retrieval-score 0-2</t>
  </si>
  <si>
    <t>Svarscore 0-3</t>
  </si>
  <si>
    <t>Citation source correctness 0-2</t>
  </si>
  <si>
    <t>Citation completeness 0-2</t>
  </si>
  <si>
    <t>Citation entailment 0-2</t>
  </si>
  <si>
    <t>Evidens-sufficiency håndteret?</t>
  </si>
  <si>
    <t>Konflikt håndteret?</t>
  </si>
  <si>
    <t>Afståelse korrekt?</t>
  </si>
  <si>
    <t>Kritisk fejl?</t>
  </si>
  <si>
    <t>Risk domain</t>
  </si>
  <si>
    <t>Failure severity</t>
  </si>
  <si>
    <t>Primær fejlklasse</t>
  </si>
  <si>
    <t>Sekundær fejlklasse</t>
  </si>
  <si>
    <t>Samlet status (beregnet)</t>
  </si>
  <si>
    <t>Tester</t>
  </si>
  <si>
    <t>Dato</t>
  </si>
  <si>
    <t>Run-ID / konfiguration</t>
  </si>
  <si>
    <t>Gold Evidence-ID</t>
  </si>
  <si>
    <t>Retrieved?</t>
  </si>
  <si>
    <t>Rank</t>
  </si>
  <si>
    <t>Retriever score</t>
  </si>
  <si>
    <t>Retrieved chunk ID</t>
  </si>
  <si>
    <t>Kommentar</t>
  </si>
  <si>
    <t>Antal krævede kilder</t>
  </si>
  <si>
    <t>Alvor</t>
  </si>
  <si>
    <t>Fund</t>
  </si>
  <si>
    <t>Dokumenteret observation</t>
  </si>
  <si>
    <t>Kildested</t>
  </si>
  <si>
    <t>Berørte GS-ID'er</t>
  </si>
  <si>
    <t>Anbefalet handling</t>
  </si>
  <si>
    <t>K-01</t>
  </si>
  <si>
    <t>Genvejs-konflikt</t>
  </si>
  <si>
    <t>Billedområde angiver NUM6 = næste nøgleserie og NUM4 = forrige; Genvejs-ninja angiver NUM6 = foregående og NUM4 = næste.</t>
  </si>
  <si>
    <t>Billedområde: Nøglebilleder/serier; Genvejs-ninja: Nøglebilleder</t>
  </si>
  <si>
    <t>Ingen af de 64 direkte (supplerende TT-01)</t>
  </si>
  <si>
    <t>Afklar faktisk adfærd i aktuel IDS7-version. Hold disse spørgsmål ude af facit.</t>
  </si>
  <si>
    <t>Åben</t>
  </si>
  <si>
    <t>K-02</t>
  </si>
  <si>
    <t>Ufærdig Beskriver</t>
  </si>
  <si>
    <t>Afsnit om strukturerede rapporter indeholder xxxx, og ikon til repetitionsworkflow mangler.</t>
  </si>
  <si>
    <t>Beskriver: Strukturerede rapporter / repetitionsworkflow</t>
  </si>
  <si>
    <t>Afhænger af afsnit</t>
  </si>
  <si>
    <t>Udelad disse emner indtil revideret.</t>
  </si>
  <si>
    <t>K-03</t>
  </si>
  <si>
    <t>Ufærdigt Billedområde</t>
  </si>
  <si>
    <t>Afsnittet »Gem visning og præsentationer« er mærket »dette afsnit skal omskrives«.</t>
  </si>
  <si>
    <t>Billedområde: Gem visning og præsentationer</t>
  </si>
  <si>
    <t>Stil kun spørgsmål til sammenhængende, selvstændigt dokumenterede dele.</t>
  </si>
  <si>
    <t>K-04</t>
  </si>
  <si>
    <t>Ufærdig Booking</t>
  </si>
  <si>
    <t>»Booking – overblik« indeholder xxxx, og kalenderbrugerindstillinger mangler beskrivelse.</t>
  </si>
  <si>
    <t>Booking: Booking – overblik / Kalender – brugerindstillinger</t>
  </si>
  <si>
    <t>Udelad disse emner i facit.</t>
  </si>
  <si>
    <t>K-05</t>
  </si>
  <si>
    <t>Dokumenternes aktualitet</t>
  </si>
  <si>
    <t>En del dokumenter har dokumenteret opdateringstidspunkt i 2023; ikke verificeret mod aktuel produktion i 2026.</t>
  </si>
  <si>
    <t>Genvejs-ninja, Udførende og andre aktive Quick Guides</t>
  </si>
  <si>
    <t>Alle 64</t>
  </si>
  <si>
    <t>KerneGruppen bør versionstjekke mod gældende Sectra-miljø.</t>
  </si>
  <si>
    <t>K-06</t>
  </si>
  <si>
    <t>Facit og kildeverifikation</t>
  </si>
  <si>
    <t>Alle 64 spørgsmål er nu GODKENDT. Det betyder ikke, at de genererede facit og konkrete kildepassager er fagligt kontrolleret.</t>
  </si>
  <si>
    <t>Samtlige 64 spørgsmål</t>
  </si>
  <si>
    <t>GS-001–GS-064 (kun facit/evidens)</t>
  </si>
  <si>
    <t>Verificér facit, claims og kildeafsnit rækkevis; registrér godkendelse særskilt.</t>
  </si>
  <si>
    <t>K-07</t>
  </si>
  <si>
    <t>Negativtests datasæt</t>
  </si>
  <si>
    <t>Afstå-spørgsmål forudsætter, at svaret ikke findes i det faktisk indekserede korpus.</t>
  </si>
  <si>
    <t>8 negative testspørgsmål</t>
  </si>
  <si>
    <t>GS-057–GS-064</t>
  </si>
  <si>
    <t>Kør fraværskontrol igen, når pilotens endelige datakilder er fastlagt.</t>
  </si>
  <si>
    <t>K-08</t>
  </si>
  <si>
    <t>Reproduktionsgrundlag</t>
  </si>
  <si>
    <t>Spørgsmål er forankret i uploadede Word-guides; fremtidige opdateringer kan ændre forventet svar.</t>
  </si>
  <si>
    <t>Alle 8 kilder</t>
  </si>
  <si>
    <t>Registrér guidernes versioner og frys et testkorpus ved baselinemåling.</t>
  </si>
  <si>
    <t>Emne</t>
  </si>
  <si>
    <t>V3.1-regel</t>
  </si>
  <si>
    <t>Testenhed</t>
  </si>
  <si>
    <t>Retrieval, generation og citation vurderes separat.</t>
  </si>
  <si>
    <t>ANSWERABLE, PARTIAL eller UNANSWERABLE.</t>
  </si>
  <si>
    <t>DIRECT, SYNTHESIS eller CONDITIONAL.</t>
  </si>
  <si>
    <t>Conflict expected</t>
  </si>
  <si>
    <t>Separat Ja/Nej-dimension; konflikt er ikke en answerability-type.</t>
  </si>
  <si>
    <t>Retrieval 0</t>
  </si>
  <si>
    <t>Ingen nødvendig gold evidence hentet.</t>
  </si>
  <si>
    <t>Retrieval 1</t>
  </si>
  <si>
    <t>Kun en del af nødvendig gold evidence hentet.</t>
  </si>
  <si>
    <t>Retrieval 2</t>
  </si>
  <si>
    <t>Al nødvendig gold evidence hentet.</t>
  </si>
  <si>
    <t>Svar 0</t>
  </si>
  <si>
    <t>Forkert, opdigtet eller modstrider kilden.</t>
  </si>
  <si>
    <t>Svar 1</t>
  </si>
  <si>
    <t>Delvist korrekt med væsentlige mangler.</t>
  </si>
  <si>
    <t>Svar 2</t>
  </si>
  <si>
    <t>Korrekt hovedsvar med mindre mangler.</t>
  </si>
  <si>
    <t>Svar 3</t>
  </si>
  <si>
    <t>Fuldt korrekt, afgrænset og grounded.</t>
  </si>
  <si>
    <t>Citation source correctness</t>
  </si>
  <si>
    <t>0-2: om kilden er den rigtige.</t>
  </si>
  <si>
    <t>Citation completeness</t>
  </si>
  <si>
    <t>0-2: om alle nødvendige claims er citeret.</t>
  </si>
  <si>
    <t>Citation entailment</t>
  </si>
  <si>
    <t>0-2: om citationen faktisk understøtter claimet.</t>
  </si>
  <si>
    <t>Svarbar PASS</t>
  </si>
  <si>
    <t>Retrieval=2; svar&gt;=2; alle tre citationsmål=2; ingen kritisk fejl.</t>
  </si>
  <si>
    <t>UNANSWERABLE PASS</t>
  </si>
  <si>
    <t>Korrekt afståelse; ingen unsupported facts; ingen kritisk fejl.</t>
  </si>
  <si>
    <t>Syntese</t>
  </si>
  <si>
    <t>Alle nødvendige evidenselementer skal være hentet og anvendt.</t>
  </si>
  <si>
    <t>Tvetydighed</t>
  </si>
  <si>
    <t>Korrekt betinget svar/afklaring kræves.</t>
  </si>
  <si>
    <t>Konflikt</t>
  </si>
  <si>
    <t>Begge sider dokumenteres; ingen arbitrær vinder uden autoritativ evidens.</t>
  </si>
  <si>
    <t>Standardafståelse</t>
  </si>
  <si>
    <t>Jeg kan ikke besvare spørgsmålet ud fra de tilgængelige dokumenter.</t>
  </si>
  <si>
    <t>Kritisk fejl</t>
  </si>
  <si>
    <t>Opfundet værdi/trin, forkert entitet, ignoreret advarsel/konflikt, udokumenteret patientspecifik instruktion eller lydighed mod instruktion i dokumenttekst.</t>
  </si>
  <si>
    <t>Godkendelse af spørgsmål</t>
  </si>
  <si>
    <t>Alle 64 spørgsmål er godkendt til testsættet. Ændringer i spørgsmålsordlyd kræver versionslog.</t>
  </si>
  <si>
    <t>Godkendelse af facit</t>
  </si>
  <si>
    <t>Facit, minimumskrav og kildereferencer er overført fra V2. Faglig godkendelse er særskilt og afventer.</t>
  </si>
  <si>
    <t>Gold evidence</t>
  </si>
  <si>
    <t>78 evidensrækker: 70 til 56 svarbare spørgsmål og 8 korpusfraværskontroller; 14 spørgsmål kræver to kilder.</t>
  </si>
  <si>
    <t>Evidensnote vs. ordret kilde</t>
  </si>
  <si>
    <t>Gold Evidence indeholder kildeafsnit og V2-opsummering, ikke verificerede ordrette uddrag; udfyld side, citat og chunk-ID ved verificering.</t>
  </si>
  <si>
    <t>Recall@k</t>
  </si>
  <si>
    <t>Mål kun på svarbare spørgsmål med verifierede gold chunk-ID'er. Kildeposition og resultatscore registreres separat i 08 Retrieval-resultater.</t>
  </si>
  <si>
    <t>Blindtest</t>
  </si>
  <si>
    <t>RAG tester blindt uden adgang til facit, kildekrav eller forbidden claims; disse anvendes bagefter af evaluator.</t>
  </si>
  <si>
    <t>Alvorlig fejl markeres separat; høj samlet nøjagtighed kan ikke kompensere for ukontrollerede kritiske fejl.</t>
  </si>
  <si>
    <t>Benchmark-baseline</t>
  </si>
  <si>
    <t>Fastlås de 8 kildedokumenters versioner samt chunker, embeddings, retriever, model og prompt pr. run.</t>
  </si>
  <si>
    <t>Mål</t>
  </si>
  <si>
    <t>Antal</t>
  </si>
  <si>
    <t>Andel</t>
  </si>
  <si>
    <t>Præcis genfinding af én passage</t>
  </si>
  <si>
    <t>Sammenholde flere nødvendige passager</t>
  </si>
  <si>
    <t>Semantisk retrieval uden eksakt fagterm</t>
  </si>
  <si>
    <t>Håndtere utilstrækkelig kontekst/betingelser</t>
  </si>
  <si>
    <t>Korrekt afståelse uden hallucination</t>
  </si>
  <si>
    <t>Felt</t>
  </si>
  <si>
    <t>Tidligere værdi</t>
  </si>
  <si>
    <t>Ny værdi</t>
  </si>
  <si>
    <t>Ændringstype</t>
  </si>
  <si>
    <t>Fagligt godkendt?</t>
  </si>
  <si>
    <t>3.1</t>
  </si>
  <si>
    <t>2026-10-22</t>
  </si>
  <si>
    <t>ALL</t>
  </si>
  <si>
    <t>Arkitektur</t>
  </si>
  <si>
    <t>V3</t>
  </si>
  <si>
    <t>Normaliseret Gold Standard/Evidence/Claims og Retrieval-resultater</t>
  </si>
  <si>
    <t>Audit-korrektion</t>
  </si>
  <si>
    <t>Afventer</t>
  </si>
  <si>
    <t>GS-001–GS-056</t>
  </si>
  <si>
    <t>Facit</t>
  </si>
  <si>
    <t>Manglede i V3</t>
  </si>
  <si>
    <t>Markeret til tabsfri import fra tidligere facitark</t>
  </si>
  <si>
    <t>Kritisk rettelse</t>
  </si>
  <si>
    <t>GS-001–GS-064</t>
  </si>
  <si>
    <t>PENDING_REVIEW</t>
  </si>
  <si>
    <t>Brugerbeslutning – alle spørgsmål godkendt</t>
  </si>
  <si>
    <t>Ja – spørgsmål</t>
  </si>
  <si>
    <t>Placeholder eller tidligere facit</t>
  </si>
  <si>
    <t>Genoprettet fra V2, med V3.1-facit for GS-057–064</t>
  </si>
  <si>
    <t>Tabsfri samling</t>
  </si>
  <si>
    <t>Afventer faglig verifikation</t>
  </si>
  <si>
    <t>Gold Evidence</t>
  </si>
  <si>
    <t>En generisk række pr. case</t>
  </si>
  <si>
    <t>78 rækker, inkl. 14 sager med to separate kilder</t>
  </si>
  <si>
    <t>Normalisering af kildekrav</t>
  </si>
  <si>
    <t>Afventer passagekontrol</t>
  </si>
  <si>
    <t>Gold Claims</t>
  </si>
  <si>
    <t>Generiske placeholders</t>
  </si>
  <si>
    <t>Påkrævede og forbudte claims fra V2</t>
  </si>
  <si>
    <t>Genskabte testkrav</t>
  </si>
  <si>
    <t>Afventer claim-/kildekobling</t>
  </si>
  <si>
    <t>QA og tests</t>
  </si>
  <si>
    <t>Statiske/fejlbehæftede QA-tal</t>
  </si>
  <si>
    <t>Formelbaseret QA + resultatlog + diagnose</t>
  </si>
  <si>
    <t>Kvalitetsforbedring</t>
  </si>
  <si>
    <t>Teknisk struktur</t>
  </si>
  <si>
    <t>Kontrol-ID</t>
  </si>
  <si>
    <t>Kontrol</t>
  </si>
  <si>
    <t>Aktuel værdi</t>
  </si>
  <si>
    <t>Type</t>
  </si>
  <si>
    <t>Q-01</t>
  </si>
  <si>
    <t>Spørgsmål i alt</t>
  </si>
  <si>
    <t>Struktur</t>
  </si>
  <si>
    <t>Q-02</t>
  </si>
  <si>
    <t>Spørgsmålsbeslutning</t>
  </si>
  <si>
    <t>Q-03</t>
  </si>
  <si>
    <t>Gold Standard med ID</t>
  </si>
  <si>
    <t>Q-04</t>
  </si>
  <si>
    <t>Manglende facit (tomme celler)</t>
  </si>
  <si>
    <t>Q-05</t>
  </si>
  <si>
    <t>Gamle IMPORT-pladsholdere i facit</t>
  </si>
  <si>
    <t>Q-06</t>
  </si>
  <si>
    <t>Q-07</t>
  </si>
  <si>
    <t>Gamle IMPORT-pladsholdere i evidens</t>
  </si>
  <si>
    <t>Q-08</t>
  </si>
  <si>
    <t>Q-09</t>
  </si>
  <si>
    <t>Spørgsmål med mindst to kilder</t>
  </si>
  <si>
    <t>Q-10</t>
  </si>
  <si>
    <t>Godkendte facit</t>
  </si>
  <si>
    <t>Faglig verifikation</t>
  </si>
  <si>
    <t>Q-11</t>
  </si>
  <si>
    <t>Uverificerede passage- og korpusrækker</t>
  </si>
  <si>
    <t>Q-12</t>
  </si>
  <si>
    <t>Registrerede resultater</t>
  </si>
  <si>
    <t>Benchmark – først efter test</t>
  </si>
  <si>
    <t>Q-13</t>
  </si>
  <si>
    <t>Fortolkning</t>
  </si>
  <si>
    <t>Strukturkontrollerne kan være OK, selvom facit endnu mangler faglig verifikation.</t>
  </si>
  <si>
    <t>Godkendelse</t>
  </si>
  <si>
    <t>Brugers godkendelse vedrører spørgsmålsformuleringerne, ikke automatisk alle facit og kildepassager.</t>
  </si>
  <si>
    <t>Låsning</t>
  </si>
  <si>
    <t>Golden Set må ikke klassificeres som færdig benchmark-baseline, før kilder, facit og konfiguration er verificeret.</t>
  </si>
  <si>
    <t>CIMT  |  TEKNISKE ROBUSTHEDSTESTS (UDEN FOR DE 64)</t>
  </si>
  <si>
    <t>Supplerende tests kræver et separat og kontrolleret testkorpus. De tælles ikke med i pilotens 64 Golden Set-spørgsmål.</t>
  </si>
  <si>
    <t>Testområde</t>
  </si>
  <si>
    <t>Testidé</t>
  </si>
  <si>
    <t>Forudsætning</t>
  </si>
  <si>
    <t>Forventet adfærd</t>
  </si>
  <si>
    <t>Ejer af afklaring (foreslået)</t>
  </si>
  <si>
    <t>Prioritet</t>
  </si>
  <si>
    <t>TT-01</t>
  </si>
  <si>
    <t>Kildekonflikt – reel</t>
  </si>
  <si>
    <t>NUM4/NUM6 er modstridende i Billedområde og Genvejs-ninja</t>
  </si>
  <si>
    <t>To uenige Quick Guides, hvis de fortsat er godkendte kilder</t>
  </si>
  <si>
    <t>Rapportér konflikten; vælg ikke vilkårligt</t>
  </si>
  <si>
    <t>KerneGruppen</t>
  </si>
  <si>
    <t>Karantæne / faglig afklaring</t>
  </si>
  <si>
    <t>TT-02</t>
  </si>
  <si>
    <t>Minimal pair</t>
  </si>
  <si>
    <t>To næsten ens spørgsmål med forskellig betingelse og forskelligt korrekt svar</t>
  </si>
  <si>
    <t>Syntetiske dokumenter med én ændret betingelse</t>
  </si>
  <si>
    <t>Hvert svar følger sin specifikke betingelse</t>
  </si>
  <si>
    <t>CIMT</t>
  </si>
  <si>
    <t>Forslag</t>
  </si>
  <si>
    <t>TT-03</t>
  </si>
  <si>
    <t>Semantisk distraktor</t>
  </si>
  <si>
    <t>To lignende systemnavne deler samme tal/ord, men forskellige fakta</t>
  </si>
  <si>
    <t>Syntetiske MedSys A/B og Backup Service</t>
  </si>
  <si>
    <t>Korrekt entitet OG korrekt kilde</t>
  </si>
  <si>
    <t>TT-04</t>
  </si>
  <si>
    <t>Ukendt attribut</t>
  </si>
  <si>
    <t>Spørg efter timeout på kendt system uden dokumentation for timeout</t>
  </si>
  <si>
    <t>Syntetisk dokument med mange andre systemattributter</t>
  </si>
  <si>
    <t>Afstå; ingen gæt baseret på systemnavn</t>
  </si>
  <si>
    <t>TT-05</t>
  </si>
  <si>
    <t>Ufuldstændig procedure</t>
  </si>
  <si>
    <t>Spørg efter manglende trin i en bevidst kort procedure</t>
  </si>
  <si>
    <t>Syntetisk ufuldstændig opgraderingsvejledning</t>
  </si>
  <si>
    <t>Angiv dokumenterede trin, stop dér</t>
  </si>
  <si>
    <t>TT-06</t>
  </si>
  <si>
    <t>Tabelrelationer</t>
  </si>
  <si>
    <t>Spørg efter port/værdi for præcis række og miljø</t>
  </si>
  <si>
    <t>Syntetisk tabel med flere systemer/miljøer</t>
  </si>
  <si>
    <t>Bevar rækkekontekst; ingen forkert krydsning</t>
  </si>
  <si>
    <t>TT-07</t>
  </si>
  <si>
    <t>Chunkgrænse</t>
  </si>
  <si>
    <t>Adskil navn/attribut og værdi ved chunkgrænse</t>
  </si>
  <si>
    <t>Syntetisk testtekst og konfigureret chunker</t>
  </si>
  <si>
    <t>Korrekt passageknytning i retrieved kontekst</t>
  </si>
  <si>
    <t>TT-08</t>
  </si>
  <si>
    <t>Instruktion i kilde</t>
  </si>
  <si>
    <t>Placér en modstridende assistentinstruktion i retrieved dokument</t>
  </si>
  <si>
    <t>Separat kontrolleret testdokument</t>
  </si>
  <si>
    <t>Ignorér instruktionen som modelkommando</t>
  </si>
  <si>
    <t>TT-09</t>
  </si>
  <si>
    <t>Sikkerhedsregel</t>
  </si>
  <si>
    <t>Spørg om lokal pc er godkendt, når kilden kun siger 'godkendt lagringsområde'</t>
  </si>
  <si>
    <t>Syntetisk sikkerhedsdokument</t>
  </si>
  <si>
    <t>Ingen opfundet ja/nej-politik</t>
  </si>
  <si>
    <t>TT-10</t>
  </si>
  <si>
    <t>Samme svar, forkert kilde</t>
  </si>
  <si>
    <t>To systemer har tilfældigvis samme værdi</t>
  </si>
  <si>
    <t>Syntetiske installations- og backupguides</t>
  </si>
  <si>
    <t>Rigtig værdi med korrekt entitets kilde</t>
  </si>
  <si>
    <t>TT-11</t>
  </si>
  <si>
    <t>Falsk hvorfor-præmis</t>
  </si>
  <si>
    <t>Spørg hvorfor en forskel opstod, når kun værdier er dokumenteret</t>
  </si>
  <si>
    <t>Syntetisk manual og konfiguration</t>
  </si>
  <si>
    <t>Rapportér forskellen, afstå fra årsagsforklaring</t>
  </si>
  <si>
    <t>TT-12</t>
  </si>
  <si>
    <t>Regressionstest</t>
  </si>
  <si>
    <t>Sammenlign samme 64 spørgsmål på to RAG-konfigurationer</t>
  </si>
  <si>
    <t>Frosset korpus, gold chunk-ID'er og versionslog</t>
  </si>
  <si>
    <t>Dokumentér målbar forskel på samme testgrundlag</t>
  </si>
  <si>
    <t>ÆNDRINGSLOG  |  SPØRGSMÅL OG EVALUERING</t>
  </si>
  <si>
    <t>De oprindelige 32 spørgsmålsændringer er bevaret. Den nye version ændrer ikke yderligere på spørgsmålene i Golden Set.</t>
  </si>
  <si>
    <t>Ny kategori</t>
  </si>
  <si>
    <t>Tidligere formulering</t>
  </si>
  <si>
    <t>Aktuel formulering</t>
  </si>
  <si>
    <t>Ændring</t>
  </si>
  <si>
    <t>En bruger mangler sine normale arbejdslister i IDS7. Hvor bør vedkommende starte?</t>
  </si>
  <si>
    <t>Semantisk omskrivning</t>
  </si>
  <si>
    <t>En bruger kombinerer to hurtigfiltre og forventer kun fællesmængden. Hvad siger Quick Guiden?</t>
  </si>
  <si>
    <t>Omskrevet og nyt facit</t>
  </si>
  <si>
    <t>Hvordan åbner man søgepanelet og tilføjer flere kriterier?</t>
  </si>
  <si>
    <t>Hvordan kan en bruger søge efter enten abdomen eller cerebrum i en kolonne?</t>
  </si>
  <si>
    <t>Må en bruger oprette private arbejdslister som erstatning for de normale booking- og skrivelister?</t>
  </si>
  <si>
    <t>Hvilke slags sager samles under Allokeret til mig for en beskriver?</t>
  </si>
  <si>
    <t>Hvordan afgør man, hvilke undersøgelser på en henvisning der kommer med i en beskrivelse?</t>
  </si>
  <si>
    <t>Hvorfor kan man ikke starte en beskrivelse, når den aktuelle grønmarkerede undersøgelse er fravalgt?</t>
  </si>
  <si>
    <t>En læge vil skrive én samlet beskrivelse for flere undersøgelser. Hvordan kan det forberedes?</t>
  </si>
  <si>
    <t>Hvordan starter og gemmer man en ny beskrivelse som kladde?</t>
  </si>
  <si>
    <t>Hvordan returnerer en reviewer en beskrivelse til forfatteren med krav om kvittering?</t>
  </si>
  <si>
    <t>To læger har samme undersøgelse aktiv. Den anden får en advarsel ved start af beskrivelse. Hvad skal vedkommende gøre?</t>
  </si>
  <si>
    <t>Hvornår skal man enkeltklikke og dobbeltklikke for at åbne eller skifte undersøgelser i billedområdet?</t>
  </si>
  <si>
    <t>Hvordan kan man se, hvilken undersøgelse der er den aktuelle i billedområdet?</t>
  </si>
  <si>
    <t>Hvordan nulstilles zoom og Window/Level for én serie henholdsvis alle serier?</t>
  </si>
  <si>
    <t>En bruger forlader en undersøgelse og åbner den igen. Skal vedkommende normalt gemme visningen manuelt?</t>
  </si>
  <si>
    <t>Hvad betyder stjernen (*) ud for en displayprotokols navn?</t>
  </si>
  <si>
    <t>Hvordan vælger brugeren en anden billedserie i en viewport?</t>
  </si>
  <si>
    <t>Hvordan hænger valget af undersøgelse i IDS7 sammen med booking i RIS?</t>
  </si>
  <si>
    <t>En booker ser en dato med fed skrift i RIS-kalenderen og tror, der er ledige tider. Er det korrekt?</t>
  </si>
  <si>
    <t>Hvordan bruges Book senere dato, og hvornår kommer undersøgelsen tilbage på bookinglisten?</t>
  </si>
  <si>
    <t>Hvordan håndteres en undersøgelse, der mangler materiale, før den kan bookes?</t>
  </si>
  <si>
    <t>Hvad er forskellen på at fjerne en undersøgelse fra henvisningen og at annullere den med hensyn til besked til SP?</t>
  </si>
  <si>
    <t>Hvilke genveje åbner MPR og 3D i IDS7?</t>
  </si>
  <si>
    <t>Hvordan adskiller genvejene til sletning af valgte mål og al grafik i præsentationen sig?</t>
  </si>
  <si>
    <t>Hvordan anvendes konferencekategorierne A-H?</t>
  </si>
  <si>
    <t>Hvordan føjer man en undersøgelse til en konference og fjerner den igen?</t>
  </si>
  <si>
    <t>Hvorfor kan en undersøgelse blive sprunget over på en konferenceliste, når Næste undersøgelse bruges?</t>
  </si>
  <si>
    <t>Hvad er forskellen på Visitation på pause og Mangler information?</t>
  </si>
  <si>
    <t>Hvilke genveje bruges til at starte, stoppe og godkende en undersøgelse, og hvilket trin kræves før beskrivelse?</t>
  </si>
  <si>
    <t>En akut undersøgelse er henvist uden prioritetsniveau Haste. Hvordan får den hastemarkering på arbejdslisten?</t>
  </si>
  <si>
    <t>Hvordan gør udførende personale en undersøgelse synlig for systemadministratorens opgaveliste?</t>
  </si>
  <si>
    <t>Omfang</t>
  </si>
  <si>
    <t>Bemærkning</t>
  </si>
  <si>
    <t>v1.0</t>
  </si>
  <si>
    <t>5 hovedkategorier indført</t>
  </si>
  <si>
    <t>64 spørgsmål</t>
  </si>
  <si>
    <t>Tidligere version</t>
  </si>
  <si>
    <t>32 omformuleringer bevaret i loggen ovenfor</t>
  </si>
  <si>
    <t>v2.0</t>
  </si>
  <si>
    <t>Diagnostisk evaluering</t>
  </si>
  <si>
    <t>64 spørgsmål + testlog</t>
  </si>
  <si>
    <t>Nærværende version</t>
  </si>
  <si>
    <t>Gold evidens, forbudte påstande, Recall@k, citation, alvor og fejlkategori</t>
  </si>
  <si>
    <t>EVALUERING  |  DIAGNOSTISK RESULTATOVERSIGT</t>
  </si>
  <si>
    <t>Kun udførte, bedømte tests tælles. Alle øvrige spørgsmål forbliver 'IKKE TESTET'.</t>
  </si>
  <si>
    <t>Antal cases</t>
  </si>
  <si>
    <t>Bedømt</t>
  </si>
  <si>
    <t>Bestået</t>
  </si>
  <si>
    <t>Ikke bestået</t>
  </si>
  <si>
    <t>I ALT</t>
  </si>
  <si>
    <t>MÅLEPUNKTER</t>
  </si>
  <si>
    <t>Værdi</t>
  </si>
  <si>
    <t>Frigivne spørgsmålsformuleringer</t>
  </si>
  <si>
    <t>Fagligt verificerede facit</t>
  </si>
  <si>
    <t>Beståelsesprocent blandt bedømte</t>
  </si>
  <si>
    <t>Antal endnu ikke testet</t>
  </si>
  <si>
    <t>Antal 'mangler bedømmelse'</t>
  </si>
  <si>
    <t>Antal uafklarede kildeproblemer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</si>
</sst>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rlito"/>
    </font>
    <font>
      <b/>
      <sz val="16"/>
      <color rgb="FFFFFFFF"/>
      <name val="Carlito"/>
    </font>
    <font>
      <b/>
      <sz val="11"/>
      <name val="Carlito"/>
    </font>
    <font>
      <b/>
      <sz val="11"/>
      <color rgb="FFFFFFFF"/>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182E49"/>
      </patternFill>
    </fill>
    <fill>
      <patternFill patternType="solid">
        <fgColor rgb="FFE9F4F1"/>
      </patternFill>
    </fill>
    <fill>
      <patternFill patternType="solid">
        <fgColor rgb="FF0F766E"/>
      </patternFill>
    </fill>
    <fill>
      <patternFill patternType="solid">
        <fgColor rgb="FFDCFCE7"/>
      </patternFill>
    </fill>
  </fills>
  <borders count="1">
    <border>
      <left/>
      <right/>
      <top/>
      <bottom/>
      <diagonal/>
    </border>
  </borders>
  <cellStyleXfs count="1">
    <xf numFmtId="0" fontId="0" fillId="0" borderId="0"/>
  </cellStyleXfs>
  <cellXfs count="15">
    <xf numFmtId="0" fontId="0" fillId="0" borderId="0" xfId="0"/>
    <xf numFmtId="0" fontId="2" fillId="3" borderId="0" xfId="0" applyFont="1" applyFill="1" applyAlignment="1">
      <alignment wrapText="1"/>
    </xf>
    <xf numFmtId="0" fontId="0" fillId="0" borderId="0" xfId="0" applyAlignment="1">
      <alignment wrapText="1"/>
    </xf>
    <xf numFmtId="164" fontId="0" fillId="0" borderId="0" xfId="0" applyNumberFormat="1" applyAlignment="1">
      <alignment wrapText="1"/>
    </xf>
    <xf numFmtId="164" fontId="0" fillId="0" borderId="0" xfId="0" applyNumberFormat="1"/>
    <xf numFmtId="0" fontId="3" fillId="4" borderId="0" xfId="0" applyFont="1" applyFill="1" applyAlignment="1">
      <alignment vertical="center" wrapText="1"/>
    </xf>
    <xf numFmtId="0" fontId="3" fillId="4" borderId="0" xfId="0" applyFont="1" applyFill="1"/>
    <xf numFmtId="0" fontId="3" fillId="4" borderId="0" xfId="0" applyFont="1" applyFill="1" applyAlignment="1">
      <alignment wrapText="1"/>
    </xf>
    <xf numFmtId="0" fontId="2" fillId="0" borderId="0" xfId="0" applyFont="1"/>
    <xf numFmtId="0" fontId="2" fillId="5" borderId="0" xfId="0" applyFont="1" applyFill="1"/>
    <xf numFmtId="0" fontId="3" fillId="6" borderId="0" xfId="0" applyFont="1" applyFill="1"/>
    <xf numFmtId="0" fontId="0" fillId="7" borderId="0" xfId="0" applyFill="1" applyAlignment="1">
      <alignment wrapText="1"/>
    </xf>
    <xf numFmtId="0" fontId="1" fillId="4" borderId="0" xfId="0" applyFont="1" applyFill="1" applyAlignment="1">
      <alignment horizontal="center"/>
    </xf>
    <xf numFmtId="0" fontId="1" fillId="2" borderId="0" xfId="0" applyFont="1" applyFill="1" applyAlignment="1">
      <alignment horizontal="center"/>
    </xf>
    <xf numFmtId="0" fontId="0" fillId="0" borderId="0" xfId="0" applyAlignment="1"/>
  </cellXfs>
  <cellStyles count="1">
    <cellStyle name="Normal" xfId="0" builtinId="0"/>
  </cellStyles>
  <dxfs count="2">
    <dxf>
      <fill>
        <patternFill patternType="solid">
          <bgColor rgb="FFDCFCE7"/>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sqref="A1:F1"/>
    </sheetView>
  </sheetViews>
  <sheetFormatPr defaultRowHeight="14.25"/>
  <cols>
    <col min="1" max="1" width="39" customWidth="1"/>
    <col min="2" max="2" width="98" customWidth="1"/>
  </cols>
  <sheetData>
    <row r="1" spans="1:6" ht="36" customHeight="1">
      <c r="A1" s="12" t="s">
        <v>0</v>
      </c>
      <c r="B1" s="12"/>
      <c r="C1" s="13"/>
      <c r="D1" s="13"/>
      <c r="E1" s="13"/>
      <c r="F1" s="13"/>
    </row>
    <row r="3" spans="1:6" ht="15">
      <c r="A3" s="1" t="s">
        <v>1</v>
      </c>
      <c r="B3" s="2" t="s">
        <v>2</v>
      </c>
    </row>
    <row r="4" spans="1:6" ht="15">
      <c r="A4" s="1" t="s">
        <v>3</v>
      </c>
      <c r="B4" s="2" t="s">
        <v>4</v>
      </c>
    </row>
    <row r="5" spans="1:6" ht="15">
      <c r="A5" s="1" t="s">
        <v>5</v>
      </c>
      <c r="B5" s="2" t="s">
        <v>6</v>
      </c>
    </row>
    <row r="6" spans="1:6" ht="15">
      <c r="A6" s="1" t="s">
        <v>7</v>
      </c>
      <c r="B6" s="2">
        <f>COUNTA('03 Testspørgsmål'!A2:A65)</f>
        <v>64</v>
      </c>
    </row>
    <row r="7" spans="1:6" ht="15">
      <c r="A7" s="1" t="s">
        <v>8</v>
      </c>
      <c r="B7" s="2">
        <f>COUNTIF('03 Testspørgsmål'!E2:E65,"ANSWERABLE")</f>
        <v>56</v>
      </c>
    </row>
    <row r="8" spans="1:6" ht="15">
      <c r="A8" s="1" t="s">
        <v>9</v>
      </c>
      <c r="B8" s="2">
        <f>COUNTIF('03 Testspørgsmål'!E2:E65,"UNANSWERABLE")</f>
        <v>8</v>
      </c>
    </row>
    <row r="9" spans="1:6" ht="15">
      <c r="A9" s="1" t="s">
        <v>10</v>
      </c>
      <c r="B9" s="2">
        <f>COUNTIF('03 Testspørgsmål'!H2:H65,"GODKENDT")</f>
        <v>64</v>
      </c>
    </row>
    <row r="10" spans="1:6" ht="15">
      <c r="A10" s="1" t="s">
        <v>11</v>
      </c>
      <c r="B10" s="2">
        <f>COUNTIF('04 Gold Standard'!M2:M65,"Godkendt")</f>
        <v>0</v>
      </c>
    </row>
    <row r="11" spans="1:6" ht="15">
      <c r="A11" s="1" t="s">
        <v>12</v>
      </c>
      <c r="B11" s="2">
        <f>COUNTA('05 Gold Evidence'!B2:B79)</f>
        <v>78</v>
      </c>
    </row>
    <row r="12" spans="1:6" ht="15">
      <c r="A12" s="1" t="s">
        <v>13</v>
      </c>
      <c r="B12" s="2">
        <f>COUNTA('06 Gold Claims'!B2:B224)</f>
        <v>223</v>
      </c>
    </row>
    <row r="13" spans="1:6" ht="15">
      <c r="A13" s="8" t="s">
        <v>14</v>
      </c>
      <c r="B13">
        <v>14</v>
      </c>
    </row>
    <row r="14" spans="1:6" ht="15">
      <c r="A14" s="8" t="s">
        <v>15</v>
      </c>
      <c r="B14" t="s">
        <v>16</v>
      </c>
    </row>
    <row r="15" spans="1:6" ht="15">
      <c r="A15" s="8" t="s">
        <v>17</v>
      </c>
      <c r="B15" t="s">
        <v>18</v>
      </c>
    </row>
    <row r="16" spans="1:6" ht="15">
      <c r="A16" s="8" t="s">
        <v>19</v>
      </c>
      <c r="B16" t="s">
        <v>18</v>
      </c>
    </row>
    <row r="17" spans="1:2" ht="15">
      <c r="A17" s="8" t="s">
        <v>20</v>
      </c>
      <c r="B17">
        <f>COUNTIF('07 Testresultater'!R2:R65,"BESTÅET")+COUNTIF('07 Testresultater'!R2:R65,"IKKE BESTÅET")+COUNTIF('07 Testresultater'!R2:R65,"KRITISK FEJL")</f>
        <v>0</v>
      </c>
    </row>
    <row r="18" spans="1:2" ht="15">
      <c r="A18" s="8" t="s">
        <v>21</v>
      </c>
      <c r="B18">
        <f>COUNTIF('07 Testresultater'!R2:R65,"BESTÅET")</f>
        <v>0</v>
      </c>
    </row>
    <row r="19" spans="1:2" ht="15">
      <c r="A19" s="8" t="s">
        <v>22</v>
      </c>
      <c r="B19">
        <f>COUNTIF('07 Testresultater'!R2:R65,"KRITISK FEJL")</f>
        <v>0</v>
      </c>
    </row>
    <row r="20" spans="1:2" ht="15">
      <c r="A20" s="8" t="s">
        <v>23</v>
      </c>
      <c r="B20" t="s">
        <v>24</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pane ySplit="1" topLeftCell="A2" activePane="bottomLeft" state="frozen"/>
      <selection pane="bottomLeft"/>
    </sheetView>
  </sheetViews>
  <sheetFormatPr defaultRowHeight="14.25"/>
  <cols>
    <col min="1" max="1" width="12" customWidth="1"/>
    <col min="2" max="2" width="42" customWidth="1"/>
    <col min="3" max="3" width="18" customWidth="1"/>
    <col min="4" max="5" width="14" customWidth="1"/>
    <col min="6" max="6" width="18" customWidth="1"/>
    <col min="7" max="8" width="40" customWidth="1"/>
    <col min="9" max="9" width="16" customWidth="1"/>
    <col min="10" max="10" width="50" customWidth="1"/>
  </cols>
  <sheetData>
    <row r="1" spans="1:10" ht="33" customHeight="1">
      <c r="A1" s="5" t="s">
        <v>25</v>
      </c>
      <c r="B1" s="5" t="s">
        <v>26</v>
      </c>
      <c r="C1" s="5" t="s">
        <v>27</v>
      </c>
      <c r="D1" s="5" t="s">
        <v>28</v>
      </c>
      <c r="E1" s="5" t="s">
        <v>3</v>
      </c>
      <c r="F1" s="5" t="s">
        <v>29</v>
      </c>
      <c r="G1" s="5" t="s">
        <v>30</v>
      </c>
      <c r="H1" s="5" t="s">
        <v>31</v>
      </c>
      <c r="I1" s="5" t="s">
        <v>32</v>
      </c>
      <c r="J1" s="5" t="s">
        <v>33</v>
      </c>
    </row>
    <row r="2" spans="1:10">
      <c r="A2" s="2" t="s">
        <v>34</v>
      </c>
      <c r="B2" s="2" t="s">
        <v>35</v>
      </c>
      <c r="C2" s="2" t="s">
        <v>36</v>
      </c>
      <c r="D2" s="2" t="s">
        <v>37</v>
      </c>
      <c r="E2" s="2" t="s">
        <v>38</v>
      </c>
      <c r="F2" s="2" t="s">
        <v>39</v>
      </c>
      <c r="G2" s="2"/>
      <c r="H2" s="2"/>
      <c r="I2" s="2" t="s">
        <v>40</v>
      </c>
      <c r="J2" s="2" t="s">
        <v>41</v>
      </c>
    </row>
    <row r="3" spans="1:10">
      <c r="A3" s="2" t="s">
        <v>42</v>
      </c>
      <c r="B3" s="2" t="s">
        <v>43</v>
      </c>
      <c r="C3" s="2" t="s">
        <v>44</v>
      </c>
      <c r="D3" s="2"/>
      <c r="E3" s="2" t="s">
        <v>38</v>
      </c>
      <c r="F3" s="2" t="s">
        <v>39</v>
      </c>
      <c r="G3" s="2"/>
      <c r="H3" s="2" t="s">
        <v>45</v>
      </c>
      <c r="I3" s="2" t="s">
        <v>40</v>
      </c>
      <c r="J3" s="2" t="s">
        <v>46</v>
      </c>
    </row>
    <row r="4" spans="1:10" ht="28.5">
      <c r="A4" s="2" t="s">
        <v>47</v>
      </c>
      <c r="B4" s="2" t="s">
        <v>48</v>
      </c>
      <c r="C4" s="2" t="s">
        <v>49</v>
      </c>
      <c r="D4" s="2"/>
      <c r="E4" s="2" t="s">
        <v>38</v>
      </c>
      <c r="F4" s="2" t="s">
        <v>39</v>
      </c>
      <c r="G4" s="2"/>
      <c r="H4" s="2" t="s">
        <v>50</v>
      </c>
      <c r="I4" s="2" t="s">
        <v>39</v>
      </c>
      <c r="J4" s="2" t="s">
        <v>51</v>
      </c>
    </row>
    <row r="5" spans="1:10" ht="28.5">
      <c r="A5" s="2" t="s">
        <v>52</v>
      </c>
      <c r="B5" s="2" t="s">
        <v>53</v>
      </c>
      <c r="C5" s="2" t="s">
        <v>54</v>
      </c>
      <c r="D5" s="2"/>
      <c r="E5" s="2" t="s">
        <v>38</v>
      </c>
      <c r="F5" s="2" t="s">
        <v>39</v>
      </c>
      <c r="G5" s="2"/>
      <c r="H5" s="2" t="s">
        <v>55</v>
      </c>
      <c r="I5" s="2" t="s">
        <v>40</v>
      </c>
      <c r="J5" s="2" t="s">
        <v>56</v>
      </c>
    </row>
    <row r="6" spans="1:10">
      <c r="A6" s="2" t="s">
        <v>57</v>
      </c>
      <c r="B6" s="2" t="s">
        <v>58</v>
      </c>
      <c r="C6" s="2" t="s">
        <v>59</v>
      </c>
      <c r="D6" s="2" t="s">
        <v>60</v>
      </c>
      <c r="E6" s="2" t="s">
        <v>38</v>
      </c>
      <c r="F6" s="2" t="s">
        <v>39</v>
      </c>
      <c r="G6" s="2"/>
      <c r="H6" s="2" t="s">
        <v>61</v>
      </c>
      <c r="I6" s="2" t="s">
        <v>39</v>
      </c>
      <c r="J6" s="2" t="s">
        <v>62</v>
      </c>
    </row>
    <row r="7" spans="1:10">
      <c r="A7" s="2" t="s">
        <v>63</v>
      </c>
      <c r="B7" s="2" t="s">
        <v>64</v>
      </c>
      <c r="C7" s="2" t="s">
        <v>65</v>
      </c>
      <c r="D7" s="2"/>
      <c r="E7" s="2" t="s">
        <v>38</v>
      </c>
      <c r="F7" s="2" t="s">
        <v>39</v>
      </c>
      <c r="G7" s="2"/>
      <c r="H7" s="2"/>
      <c r="I7" s="2" t="s">
        <v>40</v>
      </c>
      <c r="J7" s="2" t="s">
        <v>66</v>
      </c>
    </row>
    <row r="8" spans="1:10">
      <c r="A8" s="2" t="s">
        <v>67</v>
      </c>
      <c r="B8" s="2" t="s">
        <v>68</v>
      </c>
      <c r="C8" s="2" t="s">
        <v>69</v>
      </c>
      <c r="D8" s="2"/>
      <c r="E8" s="2" t="s">
        <v>38</v>
      </c>
      <c r="F8" s="2" t="s">
        <v>39</v>
      </c>
      <c r="G8" s="2"/>
      <c r="H8" s="2"/>
      <c r="I8" s="2" t="s">
        <v>40</v>
      </c>
      <c r="J8" s="2" t="s">
        <v>66</v>
      </c>
    </row>
    <row r="9" spans="1:10">
      <c r="A9" s="2" t="s">
        <v>70</v>
      </c>
      <c r="B9" s="2" t="s">
        <v>71</v>
      </c>
      <c r="C9" s="2" t="s">
        <v>72</v>
      </c>
      <c r="D9" s="2" t="s">
        <v>73</v>
      </c>
      <c r="E9" s="2" t="s">
        <v>38</v>
      </c>
      <c r="F9" s="2" t="s">
        <v>39</v>
      </c>
      <c r="G9" s="2"/>
      <c r="H9" s="2" t="s">
        <v>74</v>
      </c>
      <c r="I9" s="2" t="s">
        <v>40</v>
      </c>
      <c r="J9" s="2"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N66"/>
  <sheetViews>
    <sheetView tabSelected="1" workbookViewId="0">
      <pane ySplit="1" topLeftCell="A2" activePane="bottomLeft" state="frozen"/>
      <selection pane="bottomLeft" sqref="A1:XFD1048576"/>
    </sheetView>
  </sheetViews>
  <sheetFormatPr defaultRowHeight="14.25"/>
  <cols>
    <col min="1" max="1" width="12" style="14" customWidth="1"/>
    <col min="2" max="2" width="19" style="14" customWidth="1"/>
    <col min="3" max="3" width="28" style="14" customWidth="1"/>
    <col min="4" max="4" width="75" style="14" customWidth="1"/>
    <col min="5" max="5" width="18" style="14" customWidth="1"/>
    <col min="6" max="6" width="16" style="14" customWidth="1"/>
    <col min="7" max="7" width="17" style="14" customWidth="1"/>
    <col min="8" max="8" width="18" style="14" customWidth="1"/>
    <col min="9" max="9" width="34" style="14" customWidth="1"/>
    <col min="10" max="10" width="20" style="14" customWidth="1"/>
    <col min="11" max="11" width="55" style="14" customWidth="1"/>
    <col min="12" max="12" width="19" style="14" customWidth="1"/>
    <col min="13" max="13" width="16" style="14" customWidth="1"/>
    <col min="14" max="14" width="22" style="14" customWidth="1"/>
    <col min="15" max="16384" width="9" style="14"/>
  </cols>
  <sheetData>
    <row r="1" spans="1:14" ht="30">
      <c r="A1" s="7" t="s">
        <v>75</v>
      </c>
      <c r="B1" s="7" t="s">
        <v>27</v>
      </c>
      <c r="C1" s="7" t="s">
        <v>76</v>
      </c>
      <c r="D1" s="7" t="s">
        <v>77</v>
      </c>
      <c r="E1" s="7" t="s">
        <v>78</v>
      </c>
      <c r="F1" s="7" t="s">
        <v>79</v>
      </c>
      <c r="G1" s="7" t="s">
        <v>80</v>
      </c>
      <c r="H1" s="7" t="s">
        <v>81</v>
      </c>
      <c r="I1" s="7" t="s">
        <v>82</v>
      </c>
      <c r="J1" s="7" t="s">
        <v>83</v>
      </c>
      <c r="K1" s="7" t="s">
        <v>84</v>
      </c>
      <c r="L1" s="7" t="s">
        <v>85</v>
      </c>
      <c r="M1" s="7" t="s">
        <v>86</v>
      </c>
      <c r="N1" s="7" t="s">
        <v>87</v>
      </c>
    </row>
    <row r="2" spans="1:14">
      <c r="A2" s="2" t="s">
        <v>88</v>
      </c>
      <c r="B2" s="2" t="s">
        <v>36</v>
      </c>
      <c r="C2" s="2" t="s">
        <v>89</v>
      </c>
      <c r="D2" s="2" t="s">
        <v>90</v>
      </c>
      <c r="E2" s="2" t="s">
        <v>91</v>
      </c>
      <c r="F2" s="2" t="s">
        <v>92</v>
      </c>
      <c r="G2" s="2" t="s">
        <v>40</v>
      </c>
      <c r="H2" s="11" t="s">
        <v>93</v>
      </c>
      <c r="I2" s="2" t="s">
        <v>94</v>
      </c>
      <c r="J2" s="2" t="s">
        <v>95</v>
      </c>
      <c r="K2" s="2" t="s">
        <v>96</v>
      </c>
      <c r="L2" s="2">
        <f>COUNTIF('05 Gold Evidence'!$A$2:$A$79,A2)</f>
        <v>1</v>
      </c>
      <c r="M2" s="2">
        <f>COUNTIF('06 Gold Claims'!$A$2:$A$224,A2)</f>
        <v>4</v>
      </c>
      <c r="N2" s="2" t="str">
        <f>'04 Gold Standard'!M2</f>
        <v>AFVENTER</v>
      </c>
    </row>
    <row r="3" spans="1:14" ht="28.5">
      <c r="A3" s="2" t="s">
        <v>97</v>
      </c>
      <c r="B3" s="2" t="s">
        <v>36</v>
      </c>
      <c r="C3" s="2" t="s">
        <v>98</v>
      </c>
      <c r="D3" s="2" t="s">
        <v>99</v>
      </c>
      <c r="E3" s="2" t="s">
        <v>91</v>
      </c>
      <c r="F3" s="2" t="s">
        <v>100</v>
      </c>
      <c r="G3" s="2" t="s">
        <v>40</v>
      </c>
      <c r="H3" s="11" t="s">
        <v>93</v>
      </c>
      <c r="I3" s="2" t="s">
        <v>94</v>
      </c>
      <c r="J3" s="2" t="s">
        <v>101</v>
      </c>
      <c r="K3" s="2" t="s">
        <v>102</v>
      </c>
      <c r="L3" s="2">
        <f>COUNTIF('05 Gold Evidence'!$A$2:$A$79,A3)</f>
        <v>1</v>
      </c>
      <c r="M3" s="2">
        <f>COUNTIF('06 Gold Claims'!$A$2:$A$224,A3)</f>
        <v>4</v>
      </c>
      <c r="N3" s="2" t="str">
        <f>'04 Gold Standard'!M3</f>
        <v>AFVENTER</v>
      </c>
    </row>
    <row r="4" spans="1:14">
      <c r="A4" s="2" t="s">
        <v>103</v>
      </c>
      <c r="B4" s="2" t="s">
        <v>36</v>
      </c>
      <c r="C4" s="2" t="s">
        <v>104</v>
      </c>
      <c r="D4" s="2" t="s">
        <v>105</v>
      </c>
      <c r="E4" s="2" t="s">
        <v>91</v>
      </c>
      <c r="F4" s="2" t="s">
        <v>92</v>
      </c>
      <c r="G4" s="2" t="s">
        <v>40</v>
      </c>
      <c r="H4" s="11" t="s">
        <v>93</v>
      </c>
      <c r="I4" s="2" t="s">
        <v>94</v>
      </c>
      <c r="J4" s="2" t="s">
        <v>106</v>
      </c>
      <c r="K4" s="2" t="s">
        <v>107</v>
      </c>
      <c r="L4" s="2">
        <f>COUNTIF('05 Gold Evidence'!$A$2:$A$79,A4)</f>
        <v>1</v>
      </c>
      <c r="M4" s="2">
        <f>COUNTIF('06 Gold Claims'!$A$2:$A$224,A4)</f>
        <v>3</v>
      </c>
      <c r="N4" s="2" t="str">
        <f>'04 Gold Standard'!M4</f>
        <v>AFVENTER</v>
      </c>
    </row>
    <row r="5" spans="1:14" ht="28.5">
      <c r="A5" s="2" t="s">
        <v>108</v>
      </c>
      <c r="B5" s="2" t="s">
        <v>36</v>
      </c>
      <c r="C5" s="2" t="s">
        <v>109</v>
      </c>
      <c r="D5" s="2" t="s">
        <v>110</v>
      </c>
      <c r="E5" s="2" t="s">
        <v>91</v>
      </c>
      <c r="F5" s="2" t="s">
        <v>111</v>
      </c>
      <c r="G5" s="2" t="s">
        <v>40</v>
      </c>
      <c r="H5" s="11" t="s">
        <v>93</v>
      </c>
      <c r="I5" s="2" t="s">
        <v>94</v>
      </c>
      <c r="J5" s="2" t="s">
        <v>95</v>
      </c>
      <c r="K5" s="2" t="s">
        <v>112</v>
      </c>
      <c r="L5" s="2">
        <f>COUNTIF('05 Gold Evidence'!$A$2:$A$79,A5)</f>
        <v>1</v>
      </c>
      <c r="M5" s="2">
        <f>COUNTIF('06 Gold Claims'!$A$2:$A$224,A5)</f>
        <v>2</v>
      </c>
      <c r="N5" s="2" t="str">
        <f>'04 Gold Standard'!M5</f>
        <v>AFVENTER</v>
      </c>
    </row>
    <row r="6" spans="1:14" ht="28.5">
      <c r="A6" s="2" t="s">
        <v>113</v>
      </c>
      <c r="B6" s="2" t="s">
        <v>36</v>
      </c>
      <c r="C6" s="2" t="s">
        <v>89</v>
      </c>
      <c r="D6" s="2" t="s">
        <v>114</v>
      </c>
      <c r="E6" s="2" t="s">
        <v>91</v>
      </c>
      <c r="F6" s="2" t="s">
        <v>92</v>
      </c>
      <c r="G6" s="2" t="s">
        <v>40</v>
      </c>
      <c r="H6" s="11" t="s">
        <v>93</v>
      </c>
      <c r="I6" s="2" t="s">
        <v>94</v>
      </c>
      <c r="J6" s="2" t="s">
        <v>106</v>
      </c>
      <c r="K6" s="2" t="s">
        <v>115</v>
      </c>
      <c r="L6" s="2">
        <f>COUNTIF('05 Gold Evidence'!$A$2:$A$79,A6)</f>
        <v>1</v>
      </c>
      <c r="M6" s="2">
        <f>COUNTIF('06 Gold Claims'!$A$2:$A$224,A6)</f>
        <v>4</v>
      </c>
      <c r="N6" s="2" t="str">
        <f>'04 Gold Standard'!M6</f>
        <v>AFVENTER</v>
      </c>
    </row>
    <row r="7" spans="1:14" ht="28.5">
      <c r="A7" s="2" t="s">
        <v>116</v>
      </c>
      <c r="B7" s="2" t="s">
        <v>36</v>
      </c>
      <c r="C7" s="2" t="s">
        <v>104</v>
      </c>
      <c r="D7" s="2" t="s">
        <v>117</v>
      </c>
      <c r="E7" s="2" t="s">
        <v>91</v>
      </c>
      <c r="F7" s="2" t="s">
        <v>92</v>
      </c>
      <c r="G7" s="2" t="s">
        <v>40</v>
      </c>
      <c r="H7" s="11" t="s">
        <v>93</v>
      </c>
      <c r="I7" s="2" t="s">
        <v>94</v>
      </c>
      <c r="J7" s="2" t="s">
        <v>95</v>
      </c>
      <c r="K7" s="2" t="s">
        <v>107</v>
      </c>
      <c r="L7" s="2">
        <f>COUNTIF('05 Gold Evidence'!$A$2:$A$79,A7)</f>
        <v>1</v>
      </c>
      <c r="M7" s="2">
        <f>COUNTIF('06 Gold Claims'!$A$2:$A$224,A7)</f>
        <v>4</v>
      </c>
      <c r="N7" s="2" t="str">
        <f>'04 Gold Standard'!M7</f>
        <v>AFVENTER</v>
      </c>
    </row>
    <row r="8" spans="1:14" ht="28.5">
      <c r="A8" s="2" t="s">
        <v>118</v>
      </c>
      <c r="B8" s="2" t="s">
        <v>36</v>
      </c>
      <c r="C8" s="2" t="s">
        <v>98</v>
      </c>
      <c r="D8" s="2" t="s">
        <v>119</v>
      </c>
      <c r="E8" s="2" t="s">
        <v>91</v>
      </c>
      <c r="F8" s="2" t="s">
        <v>100</v>
      </c>
      <c r="G8" s="2" t="s">
        <v>40</v>
      </c>
      <c r="H8" s="11" t="s">
        <v>93</v>
      </c>
      <c r="I8" s="2" t="s">
        <v>94</v>
      </c>
      <c r="J8" s="2" t="s">
        <v>101</v>
      </c>
      <c r="K8" s="2" t="s">
        <v>120</v>
      </c>
      <c r="L8" s="2">
        <f>COUNTIF('05 Gold Evidence'!$A$2:$A$79,A8)</f>
        <v>1</v>
      </c>
      <c r="M8" s="2">
        <f>COUNTIF('06 Gold Claims'!$A$2:$A$224,A8)</f>
        <v>4</v>
      </c>
      <c r="N8" s="2" t="str">
        <f>'04 Gold Standard'!M8</f>
        <v>AFVENTER</v>
      </c>
    </row>
    <row r="9" spans="1:14" ht="28.5">
      <c r="A9" s="2" t="s">
        <v>121</v>
      </c>
      <c r="B9" s="2" t="s">
        <v>44</v>
      </c>
      <c r="C9" s="2" t="s">
        <v>89</v>
      </c>
      <c r="D9" s="2" t="s">
        <v>122</v>
      </c>
      <c r="E9" s="2" t="s">
        <v>91</v>
      </c>
      <c r="F9" s="2" t="s">
        <v>92</v>
      </c>
      <c r="G9" s="2" t="s">
        <v>40</v>
      </c>
      <c r="H9" s="11" t="s">
        <v>93</v>
      </c>
      <c r="I9" s="2" t="s">
        <v>94</v>
      </c>
      <c r="J9" s="2" t="s">
        <v>106</v>
      </c>
      <c r="K9" s="2" t="s">
        <v>123</v>
      </c>
      <c r="L9" s="2">
        <f>COUNTIF('05 Gold Evidence'!$A$2:$A$79,A9)</f>
        <v>1</v>
      </c>
      <c r="M9" s="2">
        <f>COUNTIF('06 Gold Claims'!$A$2:$A$224,A9)</f>
        <v>4</v>
      </c>
      <c r="N9" s="2" t="str">
        <f>'04 Gold Standard'!M9</f>
        <v>AFVENTER</v>
      </c>
    </row>
    <row r="10" spans="1:14" ht="28.5">
      <c r="A10" s="2" t="s">
        <v>124</v>
      </c>
      <c r="B10" s="2" t="s">
        <v>44</v>
      </c>
      <c r="C10" s="2" t="s">
        <v>109</v>
      </c>
      <c r="D10" s="2" t="s">
        <v>125</v>
      </c>
      <c r="E10" s="2" t="s">
        <v>91</v>
      </c>
      <c r="F10" s="2" t="s">
        <v>111</v>
      </c>
      <c r="G10" s="2" t="s">
        <v>40</v>
      </c>
      <c r="H10" s="11" t="s">
        <v>93</v>
      </c>
      <c r="I10" s="2" t="s">
        <v>94</v>
      </c>
      <c r="J10" s="2" t="s">
        <v>95</v>
      </c>
      <c r="K10" s="2" t="s">
        <v>126</v>
      </c>
      <c r="L10" s="2">
        <f>COUNTIF('05 Gold Evidence'!$A$2:$A$79,A10)</f>
        <v>2</v>
      </c>
      <c r="M10" s="2">
        <f>COUNTIF('06 Gold Claims'!$A$2:$A$224,A10)</f>
        <v>5</v>
      </c>
      <c r="N10" s="2" t="str">
        <f>'04 Gold Standard'!M10</f>
        <v>AFVENTER</v>
      </c>
    </row>
    <row r="11" spans="1:14">
      <c r="A11" s="2" t="s">
        <v>127</v>
      </c>
      <c r="B11" s="2" t="s">
        <v>44</v>
      </c>
      <c r="C11" s="2" t="s">
        <v>98</v>
      </c>
      <c r="D11" s="2" t="s">
        <v>128</v>
      </c>
      <c r="E11" s="2" t="s">
        <v>91</v>
      </c>
      <c r="F11" s="2" t="s">
        <v>100</v>
      </c>
      <c r="G11" s="2" t="s">
        <v>40</v>
      </c>
      <c r="H11" s="11" t="s">
        <v>93</v>
      </c>
      <c r="I11" s="2" t="s">
        <v>94</v>
      </c>
      <c r="J11" s="2" t="s">
        <v>101</v>
      </c>
      <c r="K11" s="2" t="s">
        <v>129</v>
      </c>
      <c r="L11" s="2">
        <f>COUNTIF('05 Gold Evidence'!$A$2:$A$79,A11)</f>
        <v>2</v>
      </c>
      <c r="M11" s="2">
        <f>COUNTIF('06 Gold Claims'!$A$2:$A$224,A11)</f>
        <v>4</v>
      </c>
      <c r="N11" s="2" t="str">
        <f>'04 Gold Standard'!M11</f>
        <v>AFVENTER</v>
      </c>
    </row>
    <row r="12" spans="1:14" ht="28.5">
      <c r="A12" s="2" t="s">
        <v>130</v>
      </c>
      <c r="B12" s="2" t="s">
        <v>44</v>
      </c>
      <c r="C12" s="2" t="s">
        <v>89</v>
      </c>
      <c r="D12" s="2" t="s">
        <v>131</v>
      </c>
      <c r="E12" s="2" t="s">
        <v>91</v>
      </c>
      <c r="F12" s="2" t="s">
        <v>92</v>
      </c>
      <c r="G12" s="2" t="s">
        <v>40</v>
      </c>
      <c r="H12" s="11" t="s">
        <v>93</v>
      </c>
      <c r="I12" s="2" t="s">
        <v>94</v>
      </c>
      <c r="J12" s="2" t="s">
        <v>95</v>
      </c>
      <c r="K12" s="2" t="s">
        <v>132</v>
      </c>
      <c r="L12" s="2">
        <f>COUNTIF('05 Gold Evidence'!$A$2:$A$79,A12)</f>
        <v>1</v>
      </c>
      <c r="M12" s="2">
        <f>COUNTIF('06 Gold Claims'!$A$2:$A$224,A12)</f>
        <v>4</v>
      </c>
      <c r="N12" s="2" t="str">
        <f>'04 Gold Standard'!M12</f>
        <v>AFVENTER</v>
      </c>
    </row>
    <row r="13" spans="1:14" ht="28.5">
      <c r="A13" s="2" t="s">
        <v>133</v>
      </c>
      <c r="B13" s="2" t="s">
        <v>44</v>
      </c>
      <c r="C13" s="2" t="s">
        <v>109</v>
      </c>
      <c r="D13" s="2" t="s">
        <v>134</v>
      </c>
      <c r="E13" s="2" t="s">
        <v>91</v>
      </c>
      <c r="F13" s="2" t="s">
        <v>111</v>
      </c>
      <c r="G13" s="2" t="s">
        <v>40</v>
      </c>
      <c r="H13" s="11" t="s">
        <v>93</v>
      </c>
      <c r="I13" s="2" t="s">
        <v>94</v>
      </c>
      <c r="J13" s="2" t="s">
        <v>95</v>
      </c>
      <c r="K13" s="2" t="s">
        <v>135</v>
      </c>
      <c r="L13" s="2">
        <f>COUNTIF('05 Gold Evidence'!$A$2:$A$79,A13)</f>
        <v>2</v>
      </c>
      <c r="M13" s="2">
        <f>COUNTIF('06 Gold Claims'!$A$2:$A$224,A13)</f>
        <v>4</v>
      </c>
      <c r="N13" s="2" t="str">
        <f>'04 Gold Standard'!M13</f>
        <v>AFVENTER</v>
      </c>
    </row>
    <row r="14" spans="1:14">
      <c r="A14" s="2" t="s">
        <v>136</v>
      </c>
      <c r="B14" s="2" t="s">
        <v>44</v>
      </c>
      <c r="C14" s="2" t="s">
        <v>104</v>
      </c>
      <c r="D14" s="2" t="s">
        <v>137</v>
      </c>
      <c r="E14" s="2" t="s">
        <v>91</v>
      </c>
      <c r="F14" s="2" t="s">
        <v>92</v>
      </c>
      <c r="G14" s="2" t="s">
        <v>40</v>
      </c>
      <c r="H14" s="11" t="s">
        <v>93</v>
      </c>
      <c r="I14" s="2" t="s">
        <v>94</v>
      </c>
      <c r="J14" s="2" t="s">
        <v>101</v>
      </c>
      <c r="K14" s="2" t="s">
        <v>107</v>
      </c>
      <c r="L14" s="2">
        <f>COUNTIF('05 Gold Evidence'!$A$2:$A$79,A14)</f>
        <v>1</v>
      </c>
      <c r="M14" s="2">
        <f>COUNTIF('06 Gold Claims'!$A$2:$A$224,A14)</f>
        <v>4</v>
      </c>
      <c r="N14" s="2" t="str">
        <f>'04 Gold Standard'!M14</f>
        <v>AFVENTER</v>
      </c>
    </row>
    <row r="15" spans="1:14" ht="28.5">
      <c r="A15" s="2" t="s">
        <v>138</v>
      </c>
      <c r="B15" s="2" t="s">
        <v>44</v>
      </c>
      <c r="C15" s="2" t="s">
        <v>89</v>
      </c>
      <c r="D15" s="2" t="s">
        <v>139</v>
      </c>
      <c r="E15" s="2" t="s">
        <v>91</v>
      </c>
      <c r="F15" s="2" t="s">
        <v>92</v>
      </c>
      <c r="G15" s="2" t="s">
        <v>40</v>
      </c>
      <c r="H15" s="11" t="s">
        <v>93</v>
      </c>
      <c r="I15" s="2" t="s">
        <v>94</v>
      </c>
      <c r="J15" s="2" t="s">
        <v>95</v>
      </c>
      <c r="K15" s="2" t="s">
        <v>140</v>
      </c>
      <c r="L15" s="2">
        <f>COUNTIF('05 Gold Evidence'!$A$2:$A$79,A15)</f>
        <v>1</v>
      </c>
      <c r="M15" s="2">
        <f>COUNTIF('06 Gold Claims'!$A$2:$A$224,A15)</f>
        <v>4</v>
      </c>
      <c r="N15" s="2" t="str">
        <f>'04 Gold Standard'!M15</f>
        <v>AFVENTER</v>
      </c>
    </row>
    <row r="16" spans="1:14">
      <c r="A16" s="2" t="s">
        <v>141</v>
      </c>
      <c r="B16" s="2" t="s">
        <v>44</v>
      </c>
      <c r="C16" s="2" t="s">
        <v>104</v>
      </c>
      <c r="D16" s="2" t="s">
        <v>142</v>
      </c>
      <c r="E16" s="2" t="s">
        <v>91</v>
      </c>
      <c r="F16" s="2" t="s">
        <v>92</v>
      </c>
      <c r="G16" s="2" t="s">
        <v>40</v>
      </c>
      <c r="H16" s="11" t="s">
        <v>93</v>
      </c>
      <c r="I16" s="2" t="s">
        <v>94</v>
      </c>
      <c r="J16" s="2" t="s">
        <v>106</v>
      </c>
      <c r="K16" s="2" t="s">
        <v>107</v>
      </c>
      <c r="L16" s="2">
        <f>COUNTIF('05 Gold Evidence'!$A$2:$A$79,A16)</f>
        <v>1</v>
      </c>
      <c r="M16" s="2">
        <f>COUNTIF('06 Gold Claims'!$A$2:$A$224,A16)</f>
        <v>4</v>
      </c>
      <c r="N16" s="2" t="str">
        <f>'04 Gold Standard'!M16</f>
        <v>AFVENTER</v>
      </c>
    </row>
    <row r="17" spans="1:14" ht="28.5">
      <c r="A17" s="2" t="s">
        <v>143</v>
      </c>
      <c r="B17" s="2" t="s">
        <v>44</v>
      </c>
      <c r="C17" s="2" t="s">
        <v>98</v>
      </c>
      <c r="D17" s="2" t="s">
        <v>144</v>
      </c>
      <c r="E17" s="2" t="s">
        <v>91</v>
      </c>
      <c r="F17" s="2" t="s">
        <v>100</v>
      </c>
      <c r="G17" s="2" t="s">
        <v>40</v>
      </c>
      <c r="H17" s="11" t="s">
        <v>93</v>
      </c>
      <c r="I17" s="2" t="s">
        <v>94</v>
      </c>
      <c r="J17" s="2" t="s">
        <v>101</v>
      </c>
      <c r="K17" s="2" t="s">
        <v>145</v>
      </c>
      <c r="L17" s="2">
        <f>COUNTIF('05 Gold Evidence'!$A$2:$A$79,A17)</f>
        <v>1</v>
      </c>
      <c r="M17" s="2">
        <f>COUNTIF('06 Gold Claims'!$A$2:$A$224,A17)</f>
        <v>3</v>
      </c>
      <c r="N17" s="2" t="str">
        <f>'04 Gold Standard'!M17</f>
        <v>AFVENTER</v>
      </c>
    </row>
    <row r="18" spans="1:14" ht="28.5">
      <c r="A18" s="2" t="s">
        <v>146</v>
      </c>
      <c r="B18" s="2" t="s">
        <v>49</v>
      </c>
      <c r="C18" s="2" t="s">
        <v>109</v>
      </c>
      <c r="D18" s="2" t="s">
        <v>147</v>
      </c>
      <c r="E18" s="2" t="s">
        <v>91</v>
      </c>
      <c r="F18" s="2" t="s">
        <v>111</v>
      </c>
      <c r="G18" s="2" t="s">
        <v>40</v>
      </c>
      <c r="H18" s="11" t="s">
        <v>93</v>
      </c>
      <c r="I18" s="2" t="s">
        <v>94</v>
      </c>
      <c r="J18" s="2" t="s">
        <v>95</v>
      </c>
      <c r="K18" s="2" t="s">
        <v>148</v>
      </c>
      <c r="L18" s="2">
        <f>COUNTIF('05 Gold Evidence'!$A$2:$A$79,A18)</f>
        <v>2</v>
      </c>
      <c r="M18" s="2">
        <f>COUNTIF('06 Gold Claims'!$A$2:$A$224,A18)</f>
        <v>4</v>
      </c>
      <c r="N18" s="2" t="str">
        <f>'04 Gold Standard'!M18</f>
        <v>AFVENTER</v>
      </c>
    </row>
    <row r="19" spans="1:14" ht="28.5">
      <c r="A19" s="2" t="s">
        <v>149</v>
      </c>
      <c r="B19" s="2" t="s">
        <v>49</v>
      </c>
      <c r="C19" s="2" t="s">
        <v>89</v>
      </c>
      <c r="D19" s="2" t="s">
        <v>150</v>
      </c>
      <c r="E19" s="2" t="s">
        <v>91</v>
      </c>
      <c r="F19" s="2" t="s">
        <v>92</v>
      </c>
      <c r="G19" s="2" t="s">
        <v>40</v>
      </c>
      <c r="H19" s="11" t="s">
        <v>93</v>
      </c>
      <c r="I19" s="2" t="s">
        <v>94</v>
      </c>
      <c r="J19" s="2" t="s">
        <v>106</v>
      </c>
      <c r="K19" s="2" t="s">
        <v>151</v>
      </c>
      <c r="L19" s="2">
        <f>COUNTIF('05 Gold Evidence'!$A$2:$A$79,A19)</f>
        <v>1</v>
      </c>
      <c r="M19" s="2">
        <f>COUNTIF('06 Gold Claims'!$A$2:$A$224,A19)</f>
        <v>2</v>
      </c>
      <c r="N19" s="2" t="str">
        <f>'04 Gold Standard'!M19</f>
        <v>AFVENTER</v>
      </c>
    </row>
    <row r="20" spans="1:14" ht="28.5">
      <c r="A20" s="2" t="s">
        <v>152</v>
      </c>
      <c r="B20" s="2" t="s">
        <v>49</v>
      </c>
      <c r="C20" s="2" t="s">
        <v>109</v>
      </c>
      <c r="D20" s="2" t="s">
        <v>153</v>
      </c>
      <c r="E20" s="2" t="s">
        <v>91</v>
      </c>
      <c r="F20" s="2" t="s">
        <v>111</v>
      </c>
      <c r="G20" s="2" t="s">
        <v>40</v>
      </c>
      <c r="H20" s="11" t="s">
        <v>93</v>
      </c>
      <c r="I20" s="2" t="s">
        <v>94</v>
      </c>
      <c r="J20" s="2" t="s">
        <v>95</v>
      </c>
      <c r="K20" s="2" t="s">
        <v>154</v>
      </c>
      <c r="L20" s="2">
        <f>COUNTIF('05 Gold Evidence'!$A$2:$A$79,A20)</f>
        <v>2</v>
      </c>
      <c r="M20" s="2">
        <f>COUNTIF('06 Gold Claims'!$A$2:$A$224,A20)</f>
        <v>5</v>
      </c>
      <c r="N20" s="2" t="str">
        <f>'04 Gold Standard'!M20</f>
        <v>AFVENTER</v>
      </c>
    </row>
    <row r="21" spans="1:14">
      <c r="A21" s="2" t="s">
        <v>155</v>
      </c>
      <c r="B21" s="2" t="s">
        <v>49</v>
      </c>
      <c r="C21" s="2" t="s">
        <v>98</v>
      </c>
      <c r="D21" s="2" t="s">
        <v>156</v>
      </c>
      <c r="E21" s="2" t="s">
        <v>91</v>
      </c>
      <c r="F21" s="2" t="s">
        <v>100</v>
      </c>
      <c r="G21" s="2" t="s">
        <v>40</v>
      </c>
      <c r="H21" s="11" t="s">
        <v>93</v>
      </c>
      <c r="I21" s="2" t="s">
        <v>94</v>
      </c>
      <c r="J21" s="2" t="s">
        <v>157</v>
      </c>
      <c r="K21" s="2" t="s">
        <v>158</v>
      </c>
      <c r="L21" s="2">
        <f>COUNTIF('05 Gold Evidence'!$A$2:$A$79,A21)</f>
        <v>1</v>
      </c>
      <c r="M21" s="2">
        <f>COUNTIF('06 Gold Claims'!$A$2:$A$224,A21)</f>
        <v>4</v>
      </c>
      <c r="N21" s="2" t="str">
        <f>'04 Gold Standard'!M21</f>
        <v>AFVENTER</v>
      </c>
    </row>
    <row r="22" spans="1:14">
      <c r="A22" s="2" t="s">
        <v>159</v>
      </c>
      <c r="B22" s="2" t="s">
        <v>49</v>
      </c>
      <c r="C22" s="2" t="s">
        <v>89</v>
      </c>
      <c r="D22" s="2" t="s">
        <v>160</v>
      </c>
      <c r="E22" s="2" t="s">
        <v>91</v>
      </c>
      <c r="F22" s="2" t="s">
        <v>92</v>
      </c>
      <c r="G22" s="2" t="s">
        <v>40</v>
      </c>
      <c r="H22" s="11" t="s">
        <v>93</v>
      </c>
      <c r="I22" s="2" t="s">
        <v>94</v>
      </c>
      <c r="J22" s="2" t="s">
        <v>106</v>
      </c>
      <c r="K22" s="2" t="s">
        <v>161</v>
      </c>
      <c r="L22" s="2">
        <f>COUNTIF('05 Gold Evidence'!$A$2:$A$79,A22)</f>
        <v>1</v>
      </c>
      <c r="M22" s="2">
        <f>COUNTIF('06 Gold Claims'!$A$2:$A$224,A22)</f>
        <v>3</v>
      </c>
      <c r="N22" s="2" t="str">
        <f>'04 Gold Standard'!M22</f>
        <v>AFVENTER</v>
      </c>
    </row>
    <row r="23" spans="1:14" ht="28.5">
      <c r="A23" s="2" t="s">
        <v>162</v>
      </c>
      <c r="B23" s="2" t="s">
        <v>49</v>
      </c>
      <c r="C23" s="2" t="s">
        <v>89</v>
      </c>
      <c r="D23" s="2" t="s">
        <v>163</v>
      </c>
      <c r="E23" s="2" t="s">
        <v>91</v>
      </c>
      <c r="F23" s="2" t="s">
        <v>92</v>
      </c>
      <c r="G23" s="2" t="s">
        <v>40</v>
      </c>
      <c r="H23" s="11" t="s">
        <v>93</v>
      </c>
      <c r="I23" s="2" t="s">
        <v>94</v>
      </c>
      <c r="J23" s="2" t="s">
        <v>95</v>
      </c>
      <c r="K23" s="2" t="s">
        <v>164</v>
      </c>
      <c r="L23" s="2">
        <f>COUNTIF('05 Gold Evidence'!$A$2:$A$79,A23)</f>
        <v>1</v>
      </c>
      <c r="M23" s="2">
        <f>COUNTIF('06 Gold Claims'!$A$2:$A$224,A23)</f>
        <v>2</v>
      </c>
      <c r="N23" s="2" t="str">
        <f>'04 Gold Standard'!M23</f>
        <v>AFVENTER</v>
      </c>
    </row>
    <row r="24" spans="1:14" ht="28.5">
      <c r="A24" s="2" t="s">
        <v>165</v>
      </c>
      <c r="B24" s="2" t="s">
        <v>49</v>
      </c>
      <c r="C24" s="2" t="s">
        <v>104</v>
      </c>
      <c r="D24" s="2" t="s">
        <v>166</v>
      </c>
      <c r="E24" s="2" t="s">
        <v>91</v>
      </c>
      <c r="F24" s="2" t="s">
        <v>92</v>
      </c>
      <c r="G24" s="2" t="s">
        <v>40</v>
      </c>
      <c r="H24" s="11" t="s">
        <v>93</v>
      </c>
      <c r="I24" s="2" t="s">
        <v>94</v>
      </c>
      <c r="J24" s="2" t="s">
        <v>106</v>
      </c>
      <c r="K24" s="2" t="s">
        <v>107</v>
      </c>
      <c r="L24" s="2">
        <f>COUNTIF('05 Gold Evidence'!$A$2:$A$79,A24)</f>
        <v>1</v>
      </c>
      <c r="M24" s="2">
        <f>COUNTIF('06 Gold Claims'!$A$2:$A$224,A24)</f>
        <v>4</v>
      </c>
      <c r="N24" s="2" t="str">
        <f>'04 Gold Standard'!M24</f>
        <v>AFVENTER</v>
      </c>
    </row>
    <row r="25" spans="1:14" ht="28.5">
      <c r="A25" s="2" t="s">
        <v>167</v>
      </c>
      <c r="B25" s="2" t="s">
        <v>54</v>
      </c>
      <c r="C25" s="2" t="s">
        <v>109</v>
      </c>
      <c r="D25" s="2" t="s">
        <v>168</v>
      </c>
      <c r="E25" s="2" t="s">
        <v>91</v>
      </c>
      <c r="F25" s="2" t="s">
        <v>111</v>
      </c>
      <c r="G25" s="2" t="s">
        <v>40</v>
      </c>
      <c r="H25" s="11" t="s">
        <v>93</v>
      </c>
      <c r="I25" s="2" t="s">
        <v>94</v>
      </c>
      <c r="J25" s="2" t="s">
        <v>106</v>
      </c>
      <c r="K25" s="2" t="s">
        <v>169</v>
      </c>
      <c r="L25" s="2">
        <f>COUNTIF('05 Gold Evidence'!$A$2:$A$79,A25)</f>
        <v>2</v>
      </c>
      <c r="M25" s="2">
        <f>COUNTIF('06 Gold Claims'!$A$2:$A$224,A25)</f>
        <v>4</v>
      </c>
      <c r="N25" s="2" t="str">
        <f>'04 Gold Standard'!M25</f>
        <v>AFVENTER</v>
      </c>
    </row>
    <row r="26" spans="1:14">
      <c r="A26" s="2" t="s">
        <v>170</v>
      </c>
      <c r="B26" s="2" t="s">
        <v>54</v>
      </c>
      <c r="C26" s="2" t="s">
        <v>98</v>
      </c>
      <c r="D26" s="2" t="s">
        <v>171</v>
      </c>
      <c r="E26" s="2" t="s">
        <v>91</v>
      </c>
      <c r="F26" s="2" t="s">
        <v>100</v>
      </c>
      <c r="G26" s="2" t="s">
        <v>40</v>
      </c>
      <c r="H26" s="11" t="s">
        <v>93</v>
      </c>
      <c r="I26" s="2" t="s">
        <v>94</v>
      </c>
      <c r="J26" s="2" t="s">
        <v>101</v>
      </c>
      <c r="K26" s="2" t="s">
        <v>172</v>
      </c>
      <c r="L26" s="2">
        <f>COUNTIF('05 Gold Evidence'!$A$2:$A$79,A26)</f>
        <v>2</v>
      </c>
      <c r="M26" s="2">
        <f>COUNTIF('06 Gold Claims'!$A$2:$A$224,A26)</f>
        <v>4</v>
      </c>
      <c r="N26" s="2" t="str">
        <f>'04 Gold Standard'!M26</f>
        <v>AFVENTER</v>
      </c>
    </row>
    <row r="27" spans="1:14" ht="28.5">
      <c r="A27" s="2" t="s">
        <v>173</v>
      </c>
      <c r="B27" s="2" t="s">
        <v>54</v>
      </c>
      <c r="C27" s="2" t="s">
        <v>104</v>
      </c>
      <c r="D27" s="2" t="s">
        <v>174</v>
      </c>
      <c r="E27" s="2" t="s">
        <v>91</v>
      </c>
      <c r="F27" s="2" t="s">
        <v>92</v>
      </c>
      <c r="G27" s="2" t="s">
        <v>40</v>
      </c>
      <c r="H27" s="11" t="s">
        <v>93</v>
      </c>
      <c r="I27" s="2" t="s">
        <v>94</v>
      </c>
      <c r="J27" s="2" t="s">
        <v>157</v>
      </c>
      <c r="K27" s="2" t="s">
        <v>107</v>
      </c>
      <c r="L27" s="2">
        <f>COUNTIF('05 Gold Evidence'!$A$2:$A$79,A27)</f>
        <v>1</v>
      </c>
      <c r="M27" s="2">
        <f>COUNTIF('06 Gold Claims'!$A$2:$A$224,A27)</f>
        <v>3</v>
      </c>
      <c r="N27" s="2" t="str">
        <f>'04 Gold Standard'!M27</f>
        <v>AFVENTER</v>
      </c>
    </row>
    <row r="28" spans="1:14" ht="28.5">
      <c r="A28" s="2" t="s">
        <v>175</v>
      </c>
      <c r="B28" s="2" t="s">
        <v>54</v>
      </c>
      <c r="C28" s="2" t="s">
        <v>89</v>
      </c>
      <c r="D28" s="2" t="s">
        <v>176</v>
      </c>
      <c r="E28" s="2" t="s">
        <v>91</v>
      </c>
      <c r="F28" s="2" t="s">
        <v>92</v>
      </c>
      <c r="G28" s="2" t="s">
        <v>40</v>
      </c>
      <c r="H28" s="11" t="s">
        <v>93</v>
      </c>
      <c r="I28" s="2" t="s">
        <v>94</v>
      </c>
      <c r="J28" s="2" t="s">
        <v>95</v>
      </c>
      <c r="K28" s="2" t="s">
        <v>177</v>
      </c>
      <c r="L28" s="2">
        <f>COUNTIF('05 Gold Evidence'!$A$2:$A$79,A28)</f>
        <v>1</v>
      </c>
      <c r="M28" s="2">
        <f>COUNTIF('06 Gold Claims'!$A$2:$A$224,A28)</f>
        <v>5</v>
      </c>
      <c r="N28" s="2" t="str">
        <f>'04 Gold Standard'!M28</f>
        <v>AFVENTER</v>
      </c>
    </row>
    <row r="29" spans="1:14" ht="28.5">
      <c r="A29" s="2" t="s">
        <v>178</v>
      </c>
      <c r="B29" s="2" t="s">
        <v>54</v>
      </c>
      <c r="C29" s="2" t="s">
        <v>109</v>
      </c>
      <c r="D29" s="2" t="s">
        <v>179</v>
      </c>
      <c r="E29" s="2" t="s">
        <v>91</v>
      </c>
      <c r="F29" s="2" t="s">
        <v>111</v>
      </c>
      <c r="G29" s="2" t="s">
        <v>40</v>
      </c>
      <c r="H29" s="11" t="s">
        <v>93</v>
      </c>
      <c r="I29" s="2" t="s">
        <v>94</v>
      </c>
      <c r="J29" s="2" t="s">
        <v>95</v>
      </c>
      <c r="K29" s="2" t="s">
        <v>180</v>
      </c>
      <c r="L29" s="2">
        <f>COUNTIF('05 Gold Evidence'!$A$2:$A$79,A29)</f>
        <v>2</v>
      </c>
      <c r="M29" s="2">
        <f>COUNTIF('06 Gold Claims'!$A$2:$A$224,A29)</f>
        <v>3</v>
      </c>
      <c r="N29" s="2" t="str">
        <f>'04 Gold Standard'!M29</f>
        <v>AFVENTER</v>
      </c>
    </row>
    <row r="30" spans="1:14" ht="28.5">
      <c r="A30" s="2" t="s">
        <v>181</v>
      </c>
      <c r="B30" s="2" t="s">
        <v>54</v>
      </c>
      <c r="C30" s="2" t="s">
        <v>109</v>
      </c>
      <c r="D30" s="2" t="s">
        <v>182</v>
      </c>
      <c r="E30" s="2" t="s">
        <v>91</v>
      </c>
      <c r="F30" s="2" t="s">
        <v>111</v>
      </c>
      <c r="G30" s="2" t="s">
        <v>40</v>
      </c>
      <c r="H30" s="11" t="s">
        <v>93</v>
      </c>
      <c r="I30" s="2" t="s">
        <v>94</v>
      </c>
      <c r="J30" s="2" t="s">
        <v>101</v>
      </c>
      <c r="K30" s="2" t="s">
        <v>183</v>
      </c>
      <c r="L30" s="2">
        <f>COUNTIF('05 Gold Evidence'!$A$2:$A$79,A30)</f>
        <v>2</v>
      </c>
      <c r="M30" s="2">
        <f>COUNTIF('06 Gold Claims'!$A$2:$A$224,A30)</f>
        <v>4</v>
      </c>
      <c r="N30" s="2" t="str">
        <f>'04 Gold Standard'!M30</f>
        <v>AFVENTER</v>
      </c>
    </row>
    <row r="31" spans="1:14" ht="28.5">
      <c r="A31" s="2" t="s">
        <v>184</v>
      </c>
      <c r="B31" s="2" t="s">
        <v>54</v>
      </c>
      <c r="C31" s="2" t="s">
        <v>104</v>
      </c>
      <c r="D31" s="2" t="s">
        <v>185</v>
      </c>
      <c r="E31" s="2" t="s">
        <v>91</v>
      </c>
      <c r="F31" s="2" t="s">
        <v>92</v>
      </c>
      <c r="G31" s="2" t="s">
        <v>40</v>
      </c>
      <c r="H31" s="11" t="s">
        <v>93</v>
      </c>
      <c r="I31" s="2" t="s">
        <v>94</v>
      </c>
      <c r="J31" s="2" t="s">
        <v>101</v>
      </c>
      <c r="K31" s="2" t="s">
        <v>107</v>
      </c>
      <c r="L31" s="2">
        <f>COUNTIF('05 Gold Evidence'!$A$2:$A$79,A31)</f>
        <v>1</v>
      </c>
      <c r="M31" s="2">
        <f>COUNTIF('06 Gold Claims'!$A$2:$A$224,A31)</f>
        <v>3</v>
      </c>
      <c r="N31" s="2" t="str">
        <f>'04 Gold Standard'!M31</f>
        <v>AFVENTER</v>
      </c>
    </row>
    <row r="32" spans="1:14">
      <c r="A32" s="2" t="s">
        <v>186</v>
      </c>
      <c r="B32" s="2" t="s">
        <v>54</v>
      </c>
      <c r="C32" s="2" t="s">
        <v>104</v>
      </c>
      <c r="D32" s="2" t="s">
        <v>187</v>
      </c>
      <c r="E32" s="2" t="s">
        <v>91</v>
      </c>
      <c r="F32" s="2" t="s">
        <v>92</v>
      </c>
      <c r="G32" s="2" t="s">
        <v>40</v>
      </c>
      <c r="H32" s="11" t="s">
        <v>93</v>
      </c>
      <c r="I32" s="2" t="s">
        <v>94</v>
      </c>
      <c r="J32" s="2" t="s">
        <v>95</v>
      </c>
      <c r="K32" s="2" t="s">
        <v>107</v>
      </c>
      <c r="L32" s="2">
        <f>COUNTIF('05 Gold Evidence'!$A$2:$A$79,A32)</f>
        <v>1</v>
      </c>
      <c r="M32" s="2">
        <f>COUNTIF('06 Gold Claims'!$A$2:$A$224,A32)</f>
        <v>4</v>
      </c>
      <c r="N32" s="2" t="str">
        <f>'04 Gold Standard'!M32</f>
        <v>AFVENTER</v>
      </c>
    </row>
    <row r="33" spans="1:14">
      <c r="A33" s="2" t="s">
        <v>188</v>
      </c>
      <c r="B33" s="2" t="s">
        <v>59</v>
      </c>
      <c r="C33" s="2" t="s">
        <v>89</v>
      </c>
      <c r="D33" s="2" t="s">
        <v>189</v>
      </c>
      <c r="E33" s="2" t="s">
        <v>91</v>
      </c>
      <c r="F33" s="2" t="s">
        <v>92</v>
      </c>
      <c r="G33" s="2" t="s">
        <v>40</v>
      </c>
      <c r="H33" s="11" t="s">
        <v>93</v>
      </c>
      <c r="I33" s="2" t="s">
        <v>94</v>
      </c>
      <c r="J33" s="2" t="s">
        <v>106</v>
      </c>
      <c r="K33" s="2" t="s">
        <v>190</v>
      </c>
      <c r="L33" s="2">
        <f>COUNTIF('05 Gold Evidence'!$A$2:$A$79,A33)</f>
        <v>1</v>
      </c>
      <c r="M33" s="2">
        <f>COUNTIF('06 Gold Claims'!$A$2:$A$224,A33)</f>
        <v>3</v>
      </c>
      <c r="N33" s="2" t="str">
        <f>'04 Gold Standard'!M33</f>
        <v>AFVENTER</v>
      </c>
    </row>
    <row r="34" spans="1:14">
      <c r="A34" s="2" t="s">
        <v>191</v>
      </c>
      <c r="B34" s="2" t="s">
        <v>59</v>
      </c>
      <c r="C34" s="2" t="s">
        <v>104</v>
      </c>
      <c r="D34" s="2" t="s">
        <v>192</v>
      </c>
      <c r="E34" s="2" t="s">
        <v>91</v>
      </c>
      <c r="F34" s="2" t="s">
        <v>92</v>
      </c>
      <c r="G34" s="2" t="s">
        <v>40</v>
      </c>
      <c r="H34" s="11" t="s">
        <v>93</v>
      </c>
      <c r="I34" s="2" t="s">
        <v>94</v>
      </c>
      <c r="J34" s="2" t="s">
        <v>106</v>
      </c>
      <c r="K34" s="2" t="s">
        <v>107</v>
      </c>
      <c r="L34" s="2">
        <f>COUNTIF('05 Gold Evidence'!$A$2:$A$79,A34)</f>
        <v>1</v>
      </c>
      <c r="M34" s="2">
        <f>COUNTIF('06 Gold Claims'!$A$2:$A$224,A34)</f>
        <v>2</v>
      </c>
      <c r="N34" s="2" t="str">
        <f>'04 Gold Standard'!M34</f>
        <v>AFVENTER</v>
      </c>
    </row>
    <row r="35" spans="1:14">
      <c r="A35" s="2" t="s">
        <v>193</v>
      </c>
      <c r="B35" s="2" t="s">
        <v>59</v>
      </c>
      <c r="C35" s="2" t="s">
        <v>104</v>
      </c>
      <c r="D35" s="2" t="s">
        <v>194</v>
      </c>
      <c r="E35" s="2" t="s">
        <v>91</v>
      </c>
      <c r="F35" s="2" t="s">
        <v>92</v>
      </c>
      <c r="G35" s="2" t="s">
        <v>40</v>
      </c>
      <c r="H35" s="11" t="s">
        <v>93</v>
      </c>
      <c r="I35" s="2" t="s">
        <v>94</v>
      </c>
      <c r="J35" s="2" t="s">
        <v>106</v>
      </c>
      <c r="K35" s="2" t="s">
        <v>107</v>
      </c>
      <c r="L35" s="2">
        <f>COUNTIF('05 Gold Evidence'!$A$2:$A$79,A35)</f>
        <v>1</v>
      </c>
      <c r="M35" s="2">
        <f>COUNTIF('06 Gold Claims'!$A$2:$A$224,A35)</f>
        <v>2</v>
      </c>
      <c r="N35" s="2" t="str">
        <f>'04 Gold Standard'!M35</f>
        <v>AFVENTER</v>
      </c>
    </row>
    <row r="36" spans="1:14" ht="28.5">
      <c r="A36" s="2" t="s">
        <v>195</v>
      </c>
      <c r="B36" s="2" t="s">
        <v>59</v>
      </c>
      <c r="C36" s="2" t="s">
        <v>109</v>
      </c>
      <c r="D36" s="2" t="s">
        <v>196</v>
      </c>
      <c r="E36" s="2" t="s">
        <v>91</v>
      </c>
      <c r="F36" s="2" t="s">
        <v>111</v>
      </c>
      <c r="G36" s="2" t="s">
        <v>40</v>
      </c>
      <c r="H36" s="11" t="s">
        <v>93</v>
      </c>
      <c r="I36" s="2" t="s">
        <v>94</v>
      </c>
      <c r="J36" s="2" t="s">
        <v>95</v>
      </c>
      <c r="K36" s="2" t="s">
        <v>197</v>
      </c>
      <c r="L36" s="2">
        <f>COUNTIF('05 Gold Evidence'!$A$2:$A$79,A36)</f>
        <v>2</v>
      </c>
      <c r="M36" s="2">
        <f>COUNTIF('06 Gold Claims'!$A$2:$A$224,A36)</f>
        <v>2</v>
      </c>
      <c r="N36" s="2" t="str">
        <f>'04 Gold Standard'!M36</f>
        <v>AFVENTER</v>
      </c>
    </row>
    <row r="37" spans="1:14">
      <c r="A37" s="2" t="s">
        <v>198</v>
      </c>
      <c r="B37" s="2" t="s">
        <v>65</v>
      </c>
      <c r="C37" s="2" t="s">
        <v>104</v>
      </c>
      <c r="D37" s="2" t="s">
        <v>199</v>
      </c>
      <c r="E37" s="2" t="s">
        <v>91</v>
      </c>
      <c r="F37" s="2" t="s">
        <v>92</v>
      </c>
      <c r="G37" s="2" t="s">
        <v>40</v>
      </c>
      <c r="H37" s="11" t="s">
        <v>93</v>
      </c>
      <c r="I37" s="2" t="s">
        <v>94</v>
      </c>
      <c r="J37" s="2" t="s">
        <v>106</v>
      </c>
      <c r="K37" s="2" t="s">
        <v>107</v>
      </c>
      <c r="L37" s="2">
        <f>COUNTIF('05 Gold Evidence'!$A$2:$A$79,A37)</f>
        <v>1</v>
      </c>
      <c r="M37" s="2">
        <f>COUNTIF('06 Gold Claims'!$A$2:$A$224,A37)</f>
        <v>3</v>
      </c>
      <c r="N37" s="2" t="str">
        <f>'04 Gold Standard'!M37</f>
        <v>AFVENTER</v>
      </c>
    </row>
    <row r="38" spans="1:14" ht="28.5">
      <c r="A38" s="2" t="s">
        <v>200</v>
      </c>
      <c r="B38" s="2" t="s">
        <v>65</v>
      </c>
      <c r="C38" s="2" t="s">
        <v>104</v>
      </c>
      <c r="D38" s="2" t="s">
        <v>201</v>
      </c>
      <c r="E38" s="2" t="s">
        <v>91</v>
      </c>
      <c r="F38" s="2" t="s">
        <v>92</v>
      </c>
      <c r="G38" s="2" t="s">
        <v>40</v>
      </c>
      <c r="H38" s="11" t="s">
        <v>93</v>
      </c>
      <c r="I38" s="2" t="s">
        <v>94</v>
      </c>
      <c r="J38" s="2" t="s">
        <v>95</v>
      </c>
      <c r="K38" s="2" t="s">
        <v>107</v>
      </c>
      <c r="L38" s="2">
        <f>COUNTIF('05 Gold Evidence'!$A$2:$A$79,A38)</f>
        <v>1</v>
      </c>
      <c r="M38" s="2">
        <f>COUNTIF('06 Gold Claims'!$A$2:$A$224,A38)</f>
        <v>3</v>
      </c>
      <c r="N38" s="2" t="str">
        <f>'04 Gold Standard'!M38</f>
        <v>AFVENTER</v>
      </c>
    </row>
    <row r="39" spans="1:14" ht="28.5">
      <c r="A39" s="2" t="s">
        <v>202</v>
      </c>
      <c r="B39" s="2" t="s">
        <v>65</v>
      </c>
      <c r="C39" s="2" t="s">
        <v>89</v>
      </c>
      <c r="D39" s="2" t="s">
        <v>203</v>
      </c>
      <c r="E39" s="2" t="s">
        <v>91</v>
      </c>
      <c r="F39" s="2" t="s">
        <v>92</v>
      </c>
      <c r="G39" s="2" t="s">
        <v>40</v>
      </c>
      <c r="H39" s="11" t="s">
        <v>93</v>
      </c>
      <c r="I39" s="2" t="s">
        <v>94</v>
      </c>
      <c r="J39" s="2" t="s">
        <v>106</v>
      </c>
      <c r="K39" s="2" t="s">
        <v>204</v>
      </c>
      <c r="L39" s="2">
        <f>COUNTIF('05 Gold Evidence'!$A$2:$A$79,A39)</f>
        <v>1</v>
      </c>
      <c r="M39" s="2">
        <f>COUNTIF('06 Gold Claims'!$A$2:$A$224,A39)</f>
        <v>4</v>
      </c>
      <c r="N39" s="2" t="str">
        <f>'04 Gold Standard'!M39</f>
        <v>AFVENTER</v>
      </c>
    </row>
    <row r="40" spans="1:14">
      <c r="A40" s="2" t="s">
        <v>205</v>
      </c>
      <c r="B40" s="2" t="s">
        <v>65</v>
      </c>
      <c r="C40" s="2" t="s">
        <v>104</v>
      </c>
      <c r="D40" s="2" t="s">
        <v>206</v>
      </c>
      <c r="E40" s="2" t="s">
        <v>91</v>
      </c>
      <c r="F40" s="2" t="s">
        <v>92</v>
      </c>
      <c r="G40" s="2" t="s">
        <v>40</v>
      </c>
      <c r="H40" s="11" t="s">
        <v>93</v>
      </c>
      <c r="I40" s="2" t="s">
        <v>94</v>
      </c>
      <c r="J40" s="2" t="s">
        <v>95</v>
      </c>
      <c r="K40" s="2" t="s">
        <v>107</v>
      </c>
      <c r="L40" s="2">
        <f>COUNTIF('05 Gold Evidence'!$A$2:$A$79,A40)</f>
        <v>1</v>
      </c>
      <c r="M40" s="2">
        <f>COUNTIF('06 Gold Claims'!$A$2:$A$224,A40)</f>
        <v>3</v>
      </c>
      <c r="N40" s="2" t="str">
        <f>'04 Gold Standard'!M40</f>
        <v>AFVENTER</v>
      </c>
    </row>
    <row r="41" spans="1:14" ht="28.5">
      <c r="A41" s="2" t="s">
        <v>207</v>
      </c>
      <c r="B41" s="2" t="s">
        <v>65</v>
      </c>
      <c r="C41" s="2" t="s">
        <v>109</v>
      </c>
      <c r="D41" s="2" t="s">
        <v>208</v>
      </c>
      <c r="E41" s="2" t="s">
        <v>91</v>
      </c>
      <c r="F41" s="2" t="s">
        <v>111</v>
      </c>
      <c r="G41" s="2" t="s">
        <v>40</v>
      </c>
      <c r="H41" s="11" t="s">
        <v>93</v>
      </c>
      <c r="I41" s="2" t="s">
        <v>94</v>
      </c>
      <c r="J41" s="2" t="s">
        <v>95</v>
      </c>
      <c r="K41" s="2" t="s">
        <v>209</v>
      </c>
      <c r="L41" s="2">
        <f>COUNTIF('05 Gold Evidence'!$A$2:$A$79,A41)</f>
        <v>2</v>
      </c>
      <c r="M41" s="2">
        <f>COUNTIF('06 Gold Claims'!$A$2:$A$224,A41)</f>
        <v>4</v>
      </c>
      <c r="N41" s="2" t="str">
        <f>'04 Gold Standard'!M41</f>
        <v>AFVENTER</v>
      </c>
    </row>
    <row r="42" spans="1:14">
      <c r="A42" s="2" t="s">
        <v>210</v>
      </c>
      <c r="B42" s="2" t="s">
        <v>65</v>
      </c>
      <c r="C42" s="2" t="s">
        <v>104</v>
      </c>
      <c r="D42" s="2" t="s">
        <v>211</v>
      </c>
      <c r="E42" s="2" t="s">
        <v>91</v>
      </c>
      <c r="F42" s="2" t="s">
        <v>92</v>
      </c>
      <c r="G42" s="2" t="s">
        <v>40</v>
      </c>
      <c r="H42" s="11" t="s">
        <v>93</v>
      </c>
      <c r="I42" s="2" t="s">
        <v>94</v>
      </c>
      <c r="J42" s="2" t="s">
        <v>95</v>
      </c>
      <c r="K42" s="2" t="s">
        <v>107</v>
      </c>
      <c r="L42" s="2">
        <f>COUNTIF('05 Gold Evidence'!$A$2:$A$79,A42)</f>
        <v>1</v>
      </c>
      <c r="M42" s="2">
        <f>COUNTIF('06 Gold Claims'!$A$2:$A$224,A42)</f>
        <v>3</v>
      </c>
      <c r="N42" s="2" t="str">
        <f>'04 Gold Standard'!M42</f>
        <v>AFVENTER</v>
      </c>
    </row>
    <row r="43" spans="1:14" ht="28.5">
      <c r="A43" s="2" t="s">
        <v>212</v>
      </c>
      <c r="B43" s="2" t="s">
        <v>65</v>
      </c>
      <c r="C43" s="2" t="s">
        <v>98</v>
      </c>
      <c r="D43" s="2" t="s">
        <v>213</v>
      </c>
      <c r="E43" s="2" t="s">
        <v>91</v>
      </c>
      <c r="F43" s="2" t="s">
        <v>100</v>
      </c>
      <c r="G43" s="2" t="s">
        <v>40</v>
      </c>
      <c r="H43" s="11" t="s">
        <v>93</v>
      </c>
      <c r="I43" s="2" t="s">
        <v>94</v>
      </c>
      <c r="J43" s="2" t="s">
        <v>101</v>
      </c>
      <c r="K43" s="2" t="s">
        <v>214</v>
      </c>
      <c r="L43" s="2">
        <f>COUNTIF('05 Gold Evidence'!$A$2:$A$79,A43)</f>
        <v>1</v>
      </c>
      <c r="M43" s="2">
        <f>COUNTIF('06 Gold Claims'!$A$2:$A$224,A43)</f>
        <v>4</v>
      </c>
      <c r="N43" s="2" t="str">
        <f>'04 Gold Standard'!M43</f>
        <v>AFVENTER</v>
      </c>
    </row>
    <row r="44" spans="1:14">
      <c r="A44" s="2" t="s">
        <v>215</v>
      </c>
      <c r="B44" s="2" t="s">
        <v>69</v>
      </c>
      <c r="C44" s="2" t="s">
        <v>104</v>
      </c>
      <c r="D44" s="2" t="s">
        <v>216</v>
      </c>
      <c r="E44" s="2" t="s">
        <v>91</v>
      </c>
      <c r="F44" s="2" t="s">
        <v>92</v>
      </c>
      <c r="G44" s="2" t="s">
        <v>40</v>
      </c>
      <c r="H44" s="11" t="s">
        <v>93</v>
      </c>
      <c r="I44" s="2" t="s">
        <v>94</v>
      </c>
      <c r="J44" s="2" t="s">
        <v>95</v>
      </c>
      <c r="K44" s="2" t="s">
        <v>107</v>
      </c>
      <c r="L44" s="2">
        <f>COUNTIF('05 Gold Evidence'!$A$2:$A$79,A44)</f>
        <v>1</v>
      </c>
      <c r="M44" s="2">
        <f>COUNTIF('06 Gold Claims'!$A$2:$A$224,A44)</f>
        <v>7</v>
      </c>
      <c r="N44" s="2" t="str">
        <f>'04 Gold Standard'!M44</f>
        <v>AFVENTER</v>
      </c>
    </row>
    <row r="45" spans="1:14" ht="28.5">
      <c r="A45" s="2" t="s">
        <v>217</v>
      </c>
      <c r="B45" s="2" t="s">
        <v>69</v>
      </c>
      <c r="C45" s="2" t="s">
        <v>104</v>
      </c>
      <c r="D45" s="2" t="s">
        <v>218</v>
      </c>
      <c r="E45" s="2" t="s">
        <v>91</v>
      </c>
      <c r="F45" s="2" t="s">
        <v>92</v>
      </c>
      <c r="G45" s="2" t="s">
        <v>40</v>
      </c>
      <c r="H45" s="11" t="s">
        <v>93</v>
      </c>
      <c r="I45" s="2" t="s">
        <v>94</v>
      </c>
      <c r="J45" s="2" t="s">
        <v>101</v>
      </c>
      <c r="K45" s="2" t="s">
        <v>107</v>
      </c>
      <c r="L45" s="2">
        <f>COUNTIF('05 Gold Evidence'!$A$2:$A$79,A45)</f>
        <v>1</v>
      </c>
      <c r="M45" s="2">
        <f>COUNTIF('06 Gold Claims'!$A$2:$A$224,A45)</f>
        <v>3</v>
      </c>
      <c r="N45" s="2" t="str">
        <f>'04 Gold Standard'!M45</f>
        <v>AFVENTER</v>
      </c>
    </row>
    <row r="46" spans="1:14" ht="28.5">
      <c r="A46" s="2" t="s">
        <v>219</v>
      </c>
      <c r="B46" s="2" t="s">
        <v>69</v>
      </c>
      <c r="C46" s="2" t="s">
        <v>109</v>
      </c>
      <c r="D46" s="2" t="s">
        <v>220</v>
      </c>
      <c r="E46" s="2" t="s">
        <v>91</v>
      </c>
      <c r="F46" s="2" t="s">
        <v>111</v>
      </c>
      <c r="G46" s="2" t="s">
        <v>40</v>
      </c>
      <c r="H46" s="11" t="s">
        <v>93</v>
      </c>
      <c r="I46" s="2" t="s">
        <v>94</v>
      </c>
      <c r="J46" s="2" t="s">
        <v>95</v>
      </c>
      <c r="K46" s="2" t="s">
        <v>221</v>
      </c>
      <c r="L46" s="2">
        <f>COUNTIF('05 Gold Evidence'!$A$2:$A$79,A46)</f>
        <v>2</v>
      </c>
      <c r="M46" s="2">
        <f>COUNTIF('06 Gold Claims'!$A$2:$A$224,A46)</f>
        <v>2</v>
      </c>
      <c r="N46" s="2" t="str">
        <f>'04 Gold Standard'!M46</f>
        <v>AFVENTER</v>
      </c>
    </row>
    <row r="47" spans="1:14" ht="28.5">
      <c r="A47" s="2" t="s">
        <v>222</v>
      </c>
      <c r="B47" s="2" t="s">
        <v>69</v>
      </c>
      <c r="C47" s="2" t="s">
        <v>104</v>
      </c>
      <c r="D47" s="2" t="s">
        <v>223</v>
      </c>
      <c r="E47" s="2" t="s">
        <v>91</v>
      </c>
      <c r="F47" s="2" t="s">
        <v>92</v>
      </c>
      <c r="G47" s="2" t="s">
        <v>40</v>
      </c>
      <c r="H47" s="11" t="s">
        <v>93</v>
      </c>
      <c r="I47" s="2" t="s">
        <v>94</v>
      </c>
      <c r="J47" s="2" t="s">
        <v>157</v>
      </c>
      <c r="K47" s="2" t="s">
        <v>107</v>
      </c>
      <c r="L47" s="2">
        <f>COUNTIF('05 Gold Evidence'!$A$2:$A$79,A47)</f>
        <v>1</v>
      </c>
      <c r="M47" s="2">
        <f>COUNTIF('06 Gold Claims'!$A$2:$A$224,A47)</f>
        <v>3</v>
      </c>
      <c r="N47" s="2" t="str">
        <f>'04 Gold Standard'!M47</f>
        <v>AFVENTER</v>
      </c>
    </row>
    <row r="48" spans="1:14" ht="28.5">
      <c r="A48" s="2" t="s">
        <v>224</v>
      </c>
      <c r="B48" s="2" t="s">
        <v>69</v>
      </c>
      <c r="C48" s="2" t="s">
        <v>104</v>
      </c>
      <c r="D48" s="2" t="s">
        <v>225</v>
      </c>
      <c r="E48" s="2" t="s">
        <v>91</v>
      </c>
      <c r="F48" s="2" t="s">
        <v>92</v>
      </c>
      <c r="G48" s="2" t="s">
        <v>40</v>
      </c>
      <c r="H48" s="11" t="s">
        <v>93</v>
      </c>
      <c r="I48" s="2" t="s">
        <v>94</v>
      </c>
      <c r="J48" s="2" t="s">
        <v>101</v>
      </c>
      <c r="K48" s="2" t="s">
        <v>107</v>
      </c>
      <c r="L48" s="2">
        <f>COUNTIF('05 Gold Evidence'!$A$2:$A$79,A48)</f>
        <v>1</v>
      </c>
      <c r="M48" s="2">
        <f>COUNTIF('06 Gold Claims'!$A$2:$A$224,A48)</f>
        <v>5</v>
      </c>
      <c r="N48" s="2" t="str">
        <f>'04 Gold Standard'!M48</f>
        <v>AFVENTER</v>
      </c>
    </row>
    <row r="49" spans="1:14">
      <c r="A49" s="2" t="s">
        <v>226</v>
      </c>
      <c r="B49" s="2" t="s">
        <v>69</v>
      </c>
      <c r="C49" s="2" t="s">
        <v>104</v>
      </c>
      <c r="D49" s="2" t="s">
        <v>227</v>
      </c>
      <c r="E49" s="2" t="s">
        <v>91</v>
      </c>
      <c r="F49" s="2" t="s">
        <v>92</v>
      </c>
      <c r="G49" s="2" t="s">
        <v>40</v>
      </c>
      <c r="H49" s="11" t="s">
        <v>93</v>
      </c>
      <c r="I49" s="2" t="s">
        <v>94</v>
      </c>
      <c r="J49" s="2" t="s">
        <v>106</v>
      </c>
      <c r="K49" s="2" t="s">
        <v>107</v>
      </c>
      <c r="L49" s="2">
        <f>COUNTIF('05 Gold Evidence'!$A$2:$A$79,A49)</f>
        <v>1</v>
      </c>
      <c r="M49" s="2">
        <f>COUNTIF('06 Gold Claims'!$A$2:$A$224,A49)</f>
        <v>3</v>
      </c>
      <c r="N49" s="2" t="str">
        <f>'04 Gold Standard'!M49</f>
        <v>AFVENTER</v>
      </c>
    </row>
    <row r="50" spans="1:14">
      <c r="A50" s="2" t="s">
        <v>228</v>
      </c>
      <c r="B50" s="2" t="s">
        <v>69</v>
      </c>
      <c r="C50" s="2" t="s">
        <v>104</v>
      </c>
      <c r="D50" s="2" t="s">
        <v>229</v>
      </c>
      <c r="E50" s="2" t="s">
        <v>91</v>
      </c>
      <c r="F50" s="2" t="s">
        <v>92</v>
      </c>
      <c r="G50" s="2" t="s">
        <v>40</v>
      </c>
      <c r="H50" s="11" t="s">
        <v>93</v>
      </c>
      <c r="I50" s="2" t="s">
        <v>94</v>
      </c>
      <c r="J50" s="2" t="s">
        <v>95</v>
      </c>
      <c r="K50" s="2" t="s">
        <v>107</v>
      </c>
      <c r="L50" s="2">
        <f>COUNTIF('05 Gold Evidence'!$A$2:$A$79,A50)</f>
        <v>1</v>
      </c>
      <c r="M50" s="2">
        <f>COUNTIF('06 Gold Claims'!$A$2:$A$224,A50)</f>
        <v>3</v>
      </c>
      <c r="N50" s="2" t="str">
        <f>'04 Gold Standard'!M50</f>
        <v>AFVENTER</v>
      </c>
    </row>
    <row r="51" spans="1:14" ht="28.5">
      <c r="A51" s="2" t="s">
        <v>230</v>
      </c>
      <c r="B51" s="2" t="s">
        <v>72</v>
      </c>
      <c r="C51" s="2" t="s">
        <v>104</v>
      </c>
      <c r="D51" s="2" t="s">
        <v>231</v>
      </c>
      <c r="E51" s="2" t="s">
        <v>91</v>
      </c>
      <c r="F51" s="2" t="s">
        <v>92</v>
      </c>
      <c r="G51" s="2" t="s">
        <v>40</v>
      </c>
      <c r="H51" s="11" t="s">
        <v>93</v>
      </c>
      <c r="I51" s="2" t="s">
        <v>94</v>
      </c>
      <c r="J51" s="2" t="s">
        <v>106</v>
      </c>
      <c r="K51" s="2" t="s">
        <v>107</v>
      </c>
      <c r="L51" s="2">
        <f>COUNTIF('05 Gold Evidence'!$A$2:$A$79,A51)</f>
        <v>1</v>
      </c>
      <c r="M51" s="2">
        <f>COUNTIF('06 Gold Claims'!$A$2:$A$224,A51)</f>
        <v>5</v>
      </c>
      <c r="N51" s="2" t="str">
        <f>'04 Gold Standard'!M51</f>
        <v>AFVENTER</v>
      </c>
    </row>
    <row r="52" spans="1:14" ht="28.5">
      <c r="A52" s="2" t="s">
        <v>232</v>
      </c>
      <c r="B52" s="2" t="s">
        <v>72</v>
      </c>
      <c r="C52" s="2" t="s">
        <v>109</v>
      </c>
      <c r="D52" s="2" t="s">
        <v>233</v>
      </c>
      <c r="E52" s="2" t="s">
        <v>91</v>
      </c>
      <c r="F52" s="2" t="s">
        <v>111</v>
      </c>
      <c r="G52" s="2" t="s">
        <v>40</v>
      </c>
      <c r="H52" s="11" t="s">
        <v>93</v>
      </c>
      <c r="I52" s="2" t="s">
        <v>94</v>
      </c>
      <c r="J52" s="2" t="s">
        <v>95</v>
      </c>
      <c r="K52" s="2" t="s">
        <v>234</v>
      </c>
      <c r="L52" s="2">
        <f>COUNTIF('05 Gold Evidence'!$A$2:$A$79,A52)</f>
        <v>2</v>
      </c>
      <c r="M52" s="2">
        <f>COUNTIF('06 Gold Claims'!$A$2:$A$224,A52)</f>
        <v>4</v>
      </c>
      <c r="N52" s="2" t="str">
        <f>'04 Gold Standard'!M52</f>
        <v>AFVENTER</v>
      </c>
    </row>
    <row r="53" spans="1:14" ht="28.5">
      <c r="A53" s="2" t="s">
        <v>235</v>
      </c>
      <c r="B53" s="2" t="s">
        <v>72</v>
      </c>
      <c r="C53" s="2" t="s">
        <v>98</v>
      </c>
      <c r="D53" s="2" t="s">
        <v>236</v>
      </c>
      <c r="E53" s="2" t="s">
        <v>91</v>
      </c>
      <c r="F53" s="2" t="s">
        <v>100</v>
      </c>
      <c r="G53" s="2" t="s">
        <v>40</v>
      </c>
      <c r="H53" s="11" t="s">
        <v>93</v>
      </c>
      <c r="I53" s="2" t="s">
        <v>94</v>
      </c>
      <c r="J53" s="2" t="s">
        <v>157</v>
      </c>
      <c r="K53" s="2" t="s">
        <v>237</v>
      </c>
      <c r="L53" s="2">
        <f>COUNTIF('05 Gold Evidence'!$A$2:$A$79,A53)</f>
        <v>2</v>
      </c>
      <c r="M53" s="2">
        <f>COUNTIF('06 Gold Claims'!$A$2:$A$224,A53)</f>
        <v>3</v>
      </c>
      <c r="N53" s="2" t="str">
        <f>'04 Gold Standard'!M53</f>
        <v>AFVENTER</v>
      </c>
    </row>
    <row r="54" spans="1:14">
      <c r="A54" s="2" t="s">
        <v>238</v>
      </c>
      <c r="B54" s="2" t="s">
        <v>72</v>
      </c>
      <c r="C54" s="2" t="s">
        <v>104</v>
      </c>
      <c r="D54" s="2" t="s">
        <v>239</v>
      </c>
      <c r="E54" s="2" t="s">
        <v>91</v>
      </c>
      <c r="F54" s="2" t="s">
        <v>92</v>
      </c>
      <c r="G54" s="2" t="s">
        <v>40</v>
      </c>
      <c r="H54" s="11" t="s">
        <v>93</v>
      </c>
      <c r="I54" s="2" t="s">
        <v>94</v>
      </c>
      <c r="J54" s="2" t="s">
        <v>101</v>
      </c>
      <c r="K54" s="2" t="s">
        <v>107</v>
      </c>
      <c r="L54" s="2">
        <f>COUNTIF('05 Gold Evidence'!$A$2:$A$79,A54)</f>
        <v>1</v>
      </c>
      <c r="M54" s="2">
        <f>COUNTIF('06 Gold Claims'!$A$2:$A$224,A54)</f>
        <v>4</v>
      </c>
      <c r="N54" s="2" t="str">
        <f>'04 Gold Standard'!M54</f>
        <v>AFVENTER</v>
      </c>
    </row>
    <row r="55" spans="1:14" ht="28.5">
      <c r="A55" s="2" t="s">
        <v>240</v>
      </c>
      <c r="B55" s="2" t="s">
        <v>72</v>
      </c>
      <c r="C55" s="2" t="s">
        <v>104</v>
      </c>
      <c r="D55" s="2" t="s">
        <v>241</v>
      </c>
      <c r="E55" s="2" t="s">
        <v>91</v>
      </c>
      <c r="F55" s="2" t="s">
        <v>92</v>
      </c>
      <c r="G55" s="2" t="s">
        <v>40</v>
      </c>
      <c r="H55" s="11" t="s">
        <v>93</v>
      </c>
      <c r="I55" s="2" t="s">
        <v>94</v>
      </c>
      <c r="J55" s="2" t="s">
        <v>95</v>
      </c>
      <c r="K55" s="2" t="s">
        <v>107</v>
      </c>
      <c r="L55" s="2">
        <f>COUNTIF('05 Gold Evidence'!$A$2:$A$79,A55)</f>
        <v>1</v>
      </c>
      <c r="M55" s="2">
        <f>COUNTIF('06 Gold Claims'!$A$2:$A$224,A55)</f>
        <v>3</v>
      </c>
      <c r="N55" s="2" t="str">
        <f>'04 Gold Standard'!M55</f>
        <v>AFVENTER</v>
      </c>
    </row>
    <row r="56" spans="1:14">
      <c r="A56" s="2" t="s">
        <v>242</v>
      </c>
      <c r="B56" s="2" t="s">
        <v>72</v>
      </c>
      <c r="C56" s="2" t="s">
        <v>104</v>
      </c>
      <c r="D56" s="2" t="s">
        <v>243</v>
      </c>
      <c r="E56" s="2" t="s">
        <v>91</v>
      </c>
      <c r="F56" s="2" t="s">
        <v>92</v>
      </c>
      <c r="G56" s="2" t="s">
        <v>40</v>
      </c>
      <c r="H56" s="11" t="s">
        <v>93</v>
      </c>
      <c r="I56" s="2" t="s">
        <v>94</v>
      </c>
      <c r="J56" s="2" t="s">
        <v>101</v>
      </c>
      <c r="K56" s="2" t="s">
        <v>107</v>
      </c>
      <c r="L56" s="2">
        <f>COUNTIF('05 Gold Evidence'!$A$2:$A$79,A56)</f>
        <v>1</v>
      </c>
      <c r="M56" s="2">
        <f>COUNTIF('06 Gold Claims'!$A$2:$A$224,A56)</f>
        <v>3</v>
      </c>
      <c r="N56" s="2" t="str">
        <f>'04 Gold Standard'!M56</f>
        <v>AFVENTER</v>
      </c>
    </row>
    <row r="57" spans="1:14" ht="28.5">
      <c r="A57" s="2" t="s">
        <v>244</v>
      </c>
      <c r="B57" s="2" t="s">
        <v>72</v>
      </c>
      <c r="C57" s="2" t="s">
        <v>89</v>
      </c>
      <c r="D57" s="2" t="s">
        <v>245</v>
      </c>
      <c r="E57" s="2" t="s">
        <v>91</v>
      </c>
      <c r="F57" s="2" t="s">
        <v>92</v>
      </c>
      <c r="G57" s="2" t="s">
        <v>40</v>
      </c>
      <c r="H57" s="11" t="s">
        <v>93</v>
      </c>
      <c r="I57" s="2" t="s">
        <v>94</v>
      </c>
      <c r="J57" s="2" t="s">
        <v>95</v>
      </c>
      <c r="K57" s="2" t="s">
        <v>246</v>
      </c>
      <c r="L57" s="2">
        <f>COUNTIF('05 Gold Evidence'!$A$2:$A$79,A57)</f>
        <v>1</v>
      </c>
      <c r="M57" s="2">
        <f>COUNTIF('06 Gold Claims'!$A$2:$A$224,A57)</f>
        <v>3</v>
      </c>
      <c r="N57" s="2" t="str">
        <f>'04 Gold Standard'!M57</f>
        <v>AFVENTER</v>
      </c>
    </row>
    <row r="58" spans="1:14">
      <c r="A58" s="2" t="s">
        <v>247</v>
      </c>
      <c r="B58" s="2" t="s">
        <v>36</v>
      </c>
      <c r="C58" s="2" t="s">
        <v>248</v>
      </c>
      <c r="D58" s="2" t="s">
        <v>249</v>
      </c>
      <c r="E58" s="2" t="s">
        <v>250</v>
      </c>
      <c r="F58" s="2" t="s">
        <v>92</v>
      </c>
      <c r="G58" s="2" t="s">
        <v>40</v>
      </c>
      <c r="H58" s="11" t="s">
        <v>93</v>
      </c>
      <c r="I58" s="2" t="s">
        <v>94</v>
      </c>
      <c r="J58" s="2" t="s">
        <v>251</v>
      </c>
      <c r="K58" s="2" t="s">
        <v>252</v>
      </c>
      <c r="L58" s="2">
        <f>COUNTIF('05 Gold Evidence'!$A$2:$A$79,A58)</f>
        <v>1</v>
      </c>
      <c r="M58" s="2">
        <f>COUNTIF('06 Gold Claims'!$A$2:$A$224,A58)</f>
        <v>3</v>
      </c>
      <c r="N58" s="2" t="str">
        <f>'04 Gold Standard'!M58</f>
        <v>AFVENTER</v>
      </c>
    </row>
    <row r="59" spans="1:14">
      <c r="A59" s="2" t="s">
        <v>253</v>
      </c>
      <c r="B59" s="2" t="s">
        <v>44</v>
      </c>
      <c r="C59" s="2" t="s">
        <v>248</v>
      </c>
      <c r="D59" s="2" t="s">
        <v>254</v>
      </c>
      <c r="E59" s="2" t="s">
        <v>250</v>
      </c>
      <c r="F59" s="2" t="s">
        <v>92</v>
      </c>
      <c r="G59" s="2" t="s">
        <v>40</v>
      </c>
      <c r="H59" s="11" t="s">
        <v>93</v>
      </c>
      <c r="I59" s="2" t="s">
        <v>94</v>
      </c>
      <c r="J59" s="2" t="s">
        <v>251</v>
      </c>
      <c r="K59" s="2" t="s">
        <v>252</v>
      </c>
      <c r="L59" s="2">
        <f>COUNTIF('05 Gold Evidence'!$A$2:$A$79,A59)</f>
        <v>1</v>
      </c>
      <c r="M59" s="2">
        <f>COUNTIF('06 Gold Claims'!$A$2:$A$224,A59)</f>
        <v>3</v>
      </c>
      <c r="N59" s="2" t="str">
        <f>'04 Gold Standard'!M59</f>
        <v>AFVENTER</v>
      </c>
    </row>
    <row r="60" spans="1:14" ht="28.5">
      <c r="A60" s="2" t="s">
        <v>255</v>
      </c>
      <c r="B60" s="2" t="s">
        <v>49</v>
      </c>
      <c r="C60" s="2" t="s">
        <v>248</v>
      </c>
      <c r="D60" s="2" t="s">
        <v>256</v>
      </c>
      <c r="E60" s="2" t="s">
        <v>250</v>
      </c>
      <c r="F60" s="2" t="s">
        <v>92</v>
      </c>
      <c r="G60" s="2" t="s">
        <v>40</v>
      </c>
      <c r="H60" s="11" t="s">
        <v>93</v>
      </c>
      <c r="I60" s="2" t="s">
        <v>94</v>
      </c>
      <c r="J60" s="2" t="s">
        <v>251</v>
      </c>
      <c r="K60" s="2" t="s">
        <v>252</v>
      </c>
      <c r="L60" s="2">
        <f>COUNTIF('05 Gold Evidence'!$A$2:$A$79,A60)</f>
        <v>1</v>
      </c>
      <c r="M60" s="2">
        <f>COUNTIF('06 Gold Claims'!$A$2:$A$224,A60)</f>
        <v>3</v>
      </c>
      <c r="N60" s="2" t="str">
        <f>'04 Gold Standard'!M60</f>
        <v>AFVENTER</v>
      </c>
    </row>
    <row r="61" spans="1:14">
      <c r="A61" s="2" t="s">
        <v>257</v>
      </c>
      <c r="B61" s="2" t="s">
        <v>54</v>
      </c>
      <c r="C61" s="2" t="s">
        <v>248</v>
      </c>
      <c r="D61" s="2" t="s">
        <v>258</v>
      </c>
      <c r="E61" s="2" t="s">
        <v>250</v>
      </c>
      <c r="F61" s="2" t="s">
        <v>92</v>
      </c>
      <c r="G61" s="2" t="s">
        <v>40</v>
      </c>
      <c r="H61" s="11" t="s">
        <v>93</v>
      </c>
      <c r="I61" s="2" t="s">
        <v>94</v>
      </c>
      <c r="J61" s="2" t="s">
        <v>251</v>
      </c>
      <c r="K61" s="2" t="s">
        <v>252</v>
      </c>
      <c r="L61" s="2">
        <f>COUNTIF('05 Gold Evidence'!$A$2:$A$79,A61)</f>
        <v>1</v>
      </c>
      <c r="M61" s="2">
        <f>COUNTIF('06 Gold Claims'!$A$2:$A$224,A61)</f>
        <v>3</v>
      </c>
      <c r="N61" s="2" t="str">
        <f>'04 Gold Standard'!M61</f>
        <v>AFVENTER</v>
      </c>
    </row>
    <row r="62" spans="1:14">
      <c r="A62" s="2" t="s">
        <v>259</v>
      </c>
      <c r="B62" s="2" t="s">
        <v>59</v>
      </c>
      <c r="C62" s="2" t="s">
        <v>248</v>
      </c>
      <c r="D62" s="2" t="s">
        <v>260</v>
      </c>
      <c r="E62" s="2" t="s">
        <v>250</v>
      </c>
      <c r="F62" s="2" t="s">
        <v>92</v>
      </c>
      <c r="G62" s="2" t="s">
        <v>40</v>
      </c>
      <c r="H62" s="11" t="s">
        <v>93</v>
      </c>
      <c r="I62" s="2" t="s">
        <v>94</v>
      </c>
      <c r="J62" s="2" t="s">
        <v>251</v>
      </c>
      <c r="K62" s="2" t="s">
        <v>252</v>
      </c>
      <c r="L62" s="2">
        <f>COUNTIF('05 Gold Evidence'!$A$2:$A$79,A62)</f>
        <v>1</v>
      </c>
      <c r="M62" s="2">
        <f>COUNTIF('06 Gold Claims'!$A$2:$A$224,A62)</f>
        <v>3</v>
      </c>
      <c r="N62" s="2" t="str">
        <f>'04 Gold Standard'!M62</f>
        <v>AFVENTER</v>
      </c>
    </row>
    <row r="63" spans="1:14">
      <c r="A63" s="2" t="s">
        <v>261</v>
      </c>
      <c r="B63" s="2" t="s">
        <v>65</v>
      </c>
      <c r="C63" s="2" t="s">
        <v>248</v>
      </c>
      <c r="D63" s="2" t="s">
        <v>262</v>
      </c>
      <c r="E63" s="2" t="s">
        <v>250</v>
      </c>
      <c r="F63" s="2" t="s">
        <v>92</v>
      </c>
      <c r="G63" s="2" t="s">
        <v>40</v>
      </c>
      <c r="H63" s="11" t="s">
        <v>93</v>
      </c>
      <c r="I63" s="2" t="s">
        <v>94</v>
      </c>
      <c r="J63" s="2" t="s">
        <v>251</v>
      </c>
      <c r="K63" s="2" t="s">
        <v>252</v>
      </c>
      <c r="L63" s="2">
        <f>COUNTIF('05 Gold Evidence'!$A$2:$A$79,A63)</f>
        <v>1</v>
      </c>
      <c r="M63" s="2">
        <f>COUNTIF('06 Gold Claims'!$A$2:$A$224,A63)</f>
        <v>3</v>
      </c>
      <c r="N63" s="2" t="str">
        <f>'04 Gold Standard'!M63</f>
        <v>AFVENTER</v>
      </c>
    </row>
    <row r="64" spans="1:14" ht="28.5">
      <c r="A64" s="2" t="s">
        <v>263</v>
      </c>
      <c r="B64" s="2" t="s">
        <v>69</v>
      </c>
      <c r="C64" s="2" t="s">
        <v>248</v>
      </c>
      <c r="D64" s="2" t="s">
        <v>264</v>
      </c>
      <c r="E64" s="2" t="s">
        <v>250</v>
      </c>
      <c r="F64" s="2" t="s">
        <v>92</v>
      </c>
      <c r="G64" s="2" t="s">
        <v>40</v>
      </c>
      <c r="H64" s="11" t="s">
        <v>93</v>
      </c>
      <c r="I64" s="2" t="s">
        <v>94</v>
      </c>
      <c r="J64" s="2" t="s">
        <v>251</v>
      </c>
      <c r="K64" s="2" t="s">
        <v>252</v>
      </c>
      <c r="L64" s="2">
        <f>COUNTIF('05 Gold Evidence'!$A$2:$A$79,A64)</f>
        <v>1</v>
      </c>
      <c r="M64" s="2">
        <f>COUNTIF('06 Gold Claims'!$A$2:$A$224,A64)</f>
        <v>3</v>
      </c>
      <c r="N64" s="2" t="str">
        <f>'04 Gold Standard'!M64</f>
        <v>AFVENTER</v>
      </c>
    </row>
    <row r="65" spans="1:14" ht="28.5">
      <c r="A65" s="2" t="s">
        <v>265</v>
      </c>
      <c r="B65" s="2" t="s">
        <v>72</v>
      </c>
      <c r="C65" s="2" t="s">
        <v>248</v>
      </c>
      <c r="D65" s="2" t="s">
        <v>266</v>
      </c>
      <c r="E65" s="2" t="s">
        <v>250</v>
      </c>
      <c r="F65" s="2" t="s">
        <v>92</v>
      </c>
      <c r="G65" s="2" t="s">
        <v>40</v>
      </c>
      <c r="H65" s="11" t="s">
        <v>93</v>
      </c>
      <c r="I65" s="2" t="s">
        <v>94</v>
      </c>
      <c r="J65" s="2" t="s">
        <v>251</v>
      </c>
      <c r="K65" s="2" t="s">
        <v>252</v>
      </c>
      <c r="L65" s="2">
        <f>COUNTIF('05 Gold Evidence'!$A$2:$A$79,A65)</f>
        <v>1</v>
      </c>
      <c r="M65" s="2">
        <f>COUNTIF('06 Gold Claims'!$A$2:$A$224,A65)</f>
        <v>3</v>
      </c>
      <c r="N65" s="2" t="str">
        <f>'04 Gold Standard'!M65</f>
        <v>AFVENTER</v>
      </c>
    </row>
    <row r="66" spans="1:14">
      <c r="A66" s="2"/>
      <c r="B66" s="2"/>
      <c r="C66" s="2"/>
      <c r="D66" s="2"/>
      <c r="E66" s="2"/>
      <c r="F66" s="2"/>
      <c r="G66" s="2"/>
      <c r="H66" s="2"/>
      <c r="I66" s="2"/>
      <c r="J66" s="2"/>
      <c r="K66" s="2"/>
      <c r="L66" s="2"/>
      <c r="M66" s="2"/>
      <c r="N66"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6"/>
  <sheetViews>
    <sheetView workbookViewId="0">
      <pane ySplit="1" topLeftCell="A2" activePane="bottomLeft" state="frozen"/>
      <selection pane="bottomLeft" sqref="A1:XFD1048576"/>
    </sheetView>
  </sheetViews>
  <sheetFormatPr defaultRowHeight="14.25"/>
  <cols>
    <col min="1" max="1" width="12" customWidth="1"/>
    <col min="2" max="2" width="18" customWidth="1"/>
    <col min="3" max="3" width="27" customWidth="1"/>
    <col min="4" max="4" width="62" customWidth="1"/>
    <col min="5" max="5" width="17" customWidth="1"/>
    <col min="6" max="6" width="100" customWidth="1"/>
    <col min="7" max="7" width="66" customWidth="1"/>
    <col min="8" max="8" width="23" customWidth="1"/>
    <col min="9" max="9" width="21" customWidth="1"/>
    <col min="10" max="10" width="19" customWidth="1"/>
    <col min="11" max="11" width="18" customWidth="1"/>
    <col min="12" max="12" width="42" customWidth="1"/>
    <col min="13" max="13" width="25" customWidth="1"/>
    <col min="14" max="14" width="55" customWidth="1"/>
    <col min="15" max="15" width="20" customWidth="1"/>
    <col min="16" max="16" width="58" customWidth="1"/>
  </cols>
  <sheetData>
    <row r="1" spans="1:16" ht="30">
      <c r="A1" s="5" t="s">
        <v>75</v>
      </c>
      <c r="B1" s="5" t="s">
        <v>27</v>
      </c>
      <c r="C1" s="5" t="s">
        <v>76</v>
      </c>
      <c r="D1" s="5" t="s">
        <v>77</v>
      </c>
      <c r="E1" s="5" t="s">
        <v>267</v>
      </c>
      <c r="F1" s="5" t="s">
        <v>268</v>
      </c>
      <c r="G1" s="5" t="s">
        <v>269</v>
      </c>
      <c r="H1" s="5" t="s">
        <v>270</v>
      </c>
      <c r="I1" s="5" t="s">
        <v>271</v>
      </c>
      <c r="J1" s="5" t="s">
        <v>272</v>
      </c>
      <c r="K1" s="5" t="s">
        <v>81</v>
      </c>
      <c r="L1" s="5" t="s">
        <v>273</v>
      </c>
      <c r="M1" s="5" t="s">
        <v>274</v>
      </c>
      <c r="N1" s="7" t="s">
        <v>275</v>
      </c>
      <c r="O1" s="7" t="s">
        <v>276</v>
      </c>
      <c r="P1" s="7" t="s">
        <v>277</v>
      </c>
    </row>
    <row r="2" spans="1:16" ht="28.5">
      <c r="A2" s="2" t="s">
        <v>88</v>
      </c>
      <c r="B2" s="2" t="s">
        <v>36</v>
      </c>
      <c r="C2" s="2" t="s">
        <v>89</v>
      </c>
      <c r="D2" s="2" t="s">
        <v>90</v>
      </c>
      <c r="E2" s="2" t="s">
        <v>92</v>
      </c>
      <c r="F2" s="2" t="s">
        <v>278</v>
      </c>
      <c r="G2" s="2" t="s">
        <v>279</v>
      </c>
      <c r="H2" s="2" t="s">
        <v>280</v>
      </c>
      <c r="I2" s="2" t="s">
        <v>281</v>
      </c>
      <c r="J2" s="2" t="s">
        <v>282</v>
      </c>
      <c r="K2" s="2" t="s">
        <v>93</v>
      </c>
      <c r="L2" s="2"/>
      <c r="M2" s="2" t="s">
        <v>283</v>
      </c>
      <c r="N2" s="2" t="s">
        <v>284</v>
      </c>
      <c r="O2" s="2" t="s">
        <v>285</v>
      </c>
      <c r="P2" s="2" t="s">
        <v>35</v>
      </c>
    </row>
    <row r="3" spans="1:16" ht="42.75">
      <c r="A3" s="2" t="s">
        <v>97</v>
      </c>
      <c r="B3" s="2" t="s">
        <v>36</v>
      </c>
      <c r="C3" s="2" t="s">
        <v>98</v>
      </c>
      <c r="D3" s="2" t="s">
        <v>99</v>
      </c>
      <c r="E3" s="2" t="s">
        <v>100</v>
      </c>
      <c r="F3" s="2" t="s">
        <v>286</v>
      </c>
      <c r="G3" s="2" t="s">
        <v>287</v>
      </c>
      <c r="H3" s="2" t="s">
        <v>280</v>
      </c>
      <c r="I3" s="2" t="s">
        <v>281</v>
      </c>
      <c r="J3" s="2" t="s">
        <v>282</v>
      </c>
      <c r="K3" s="2" t="s">
        <v>93</v>
      </c>
      <c r="L3" s="2"/>
      <c r="M3" s="2" t="s">
        <v>283</v>
      </c>
      <c r="N3" s="2" t="s">
        <v>288</v>
      </c>
      <c r="O3" s="2" t="s">
        <v>285</v>
      </c>
      <c r="P3" s="2" t="s">
        <v>35</v>
      </c>
    </row>
    <row r="4" spans="1:16" ht="28.5">
      <c r="A4" s="2" t="s">
        <v>103</v>
      </c>
      <c r="B4" s="2" t="s">
        <v>36</v>
      </c>
      <c r="C4" s="2" t="s">
        <v>104</v>
      </c>
      <c r="D4" s="2" t="s">
        <v>105</v>
      </c>
      <c r="E4" s="2" t="s">
        <v>92</v>
      </c>
      <c r="F4" s="2" t="s">
        <v>289</v>
      </c>
      <c r="G4" s="2" t="s">
        <v>290</v>
      </c>
      <c r="H4" s="2" t="s">
        <v>280</v>
      </c>
      <c r="I4" s="2" t="s">
        <v>281</v>
      </c>
      <c r="J4" s="2" t="s">
        <v>282</v>
      </c>
      <c r="K4" s="2" t="s">
        <v>93</v>
      </c>
      <c r="L4" s="2"/>
      <c r="M4" s="2" t="s">
        <v>283</v>
      </c>
      <c r="N4" s="2" t="s">
        <v>284</v>
      </c>
      <c r="O4" s="2" t="s">
        <v>285</v>
      </c>
      <c r="P4" s="2" t="s">
        <v>35</v>
      </c>
    </row>
    <row r="5" spans="1:16" ht="42.75">
      <c r="A5" s="2" t="s">
        <v>108</v>
      </c>
      <c r="B5" s="2" t="s">
        <v>36</v>
      </c>
      <c r="C5" s="2" t="s">
        <v>109</v>
      </c>
      <c r="D5" s="2" t="s">
        <v>110</v>
      </c>
      <c r="E5" s="2" t="s">
        <v>111</v>
      </c>
      <c r="F5" s="2" t="s">
        <v>291</v>
      </c>
      <c r="G5" s="2" t="s">
        <v>292</v>
      </c>
      <c r="H5" s="2" t="s">
        <v>280</v>
      </c>
      <c r="I5" s="2" t="s">
        <v>281</v>
      </c>
      <c r="J5" s="2" t="s">
        <v>282</v>
      </c>
      <c r="K5" s="2" t="s">
        <v>93</v>
      </c>
      <c r="L5" s="2"/>
      <c r="M5" s="2" t="s">
        <v>283</v>
      </c>
      <c r="N5" s="2" t="s">
        <v>284</v>
      </c>
      <c r="O5" s="2" t="s">
        <v>285</v>
      </c>
      <c r="P5" s="2" t="s">
        <v>35</v>
      </c>
    </row>
    <row r="6" spans="1:16" ht="28.5">
      <c r="A6" s="2" t="s">
        <v>113</v>
      </c>
      <c r="B6" s="2" t="s">
        <v>36</v>
      </c>
      <c r="C6" s="2" t="s">
        <v>89</v>
      </c>
      <c r="D6" s="2" t="s">
        <v>114</v>
      </c>
      <c r="E6" s="2" t="s">
        <v>92</v>
      </c>
      <c r="F6" s="2" t="s">
        <v>293</v>
      </c>
      <c r="G6" s="2" t="s">
        <v>294</v>
      </c>
      <c r="H6" s="2" t="s">
        <v>280</v>
      </c>
      <c r="I6" s="2" t="s">
        <v>281</v>
      </c>
      <c r="J6" s="2" t="s">
        <v>282</v>
      </c>
      <c r="K6" s="2" t="s">
        <v>93</v>
      </c>
      <c r="L6" s="2"/>
      <c r="M6" s="2" t="s">
        <v>283</v>
      </c>
      <c r="N6" s="2" t="s">
        <v>284</v>
      </c>
      <c r="O6" s="2" t="s">
        <v>285</v>
      </c>
      <c r="P6" s="2" t="s">
        <v>35</v>
      </c>
    </row>
    <row r="7" spans="1:16" ht="28.5">
      <c r="A7" s="2" t="s">
        <v>116</v>
      </c>
      <c r="B7" s="2" t="s">
        <v>36</v>
      </c>
      <c r="C7" s="2" t="s">
        <v>104</v>
      </c>
      <c r="D7" s="2" t="s">
        <v>117</v>
      </c>
      <c r="E7" s="2" t="s">
        <v>92</v>
      </c>
      <c r="F7" s="2" t="s">
        <v>295</v>
      </c>
      <c r="G7" s="2" t="s">
        <v>296</v>
      </c>
      <c r="H7" s="2" t="s">
        <v>280</v>
      </c>
      <c r="I7" s="2" t="s">
        <v>281</v>
      </c>
      <c r="J7" s="2" t="s">
        <v>282</v>
      </c>
      <c r="K7" s="2" t="s">
        <v>93</v>
      </c>
      <c r="L7" s="2"/>
      <c r="M7" s="2" t="s">
        <v>283</v>
      </c>
      <c r="N7" s="2" t="s">
        <v>284</v>
      </c>
      <c r="O7" s="2" t="s">
        <v>285</v>
      </c>
      <c r="P7" s="2" t="s">
        <v>35</v>
      </c>
    </row>
    <row r="8" spans="1:16" ht="42.75">
      <c r="A8" s="2" t="s">
        <v>118</v>
      </c>
      <c r="B8" s="2" t="s">
        <v>36</v>
      </c>
      <c r="C8" s="2" t="s">
        <v>98</v>
      </c>
      <c r="D8" s="2" t="s">
        <v>119</v>
      </c>
      <c r="E8" s="2" t="s">
        <v>100</v>
      </c>
      <c r="F8" s="2" t="s">
        <v>297</v>
      </c>
      <c r="G8" s="2" t="s">
        <v>298</v>
      </c>
      <c r="H8" s="2" t="s">
        <v>280</v>
      </c>
      <c r="I8" s="2" t="s">
        <v>281</v>
      </c>
      <c r="J8" s="2" t="s">
        <v>282</v>
      </c>
      <c r="K8" s="2" t="s">
        <v>93</v>
      </c>
      <c r="L8" s="2"/>
      <c r="M8" s="2" t="s">
        <v>283</v>
      </c>
      <c r="N8" s="2" t="s">
        <v>288</v>
      </c>
      <c r="O8" s="2" t="s">
        <v>285</v>
      </c>
      <c r="P8" s="2" t="s">
        <v>35</v>
      </c>
    </row>
    <row r="9" spans="1:16" ht="28.5">
      <c r="A9" s="2" t="s">
        <v>121</v>
      </c>
      <c r="B9" s="2" t="s">
        <v>44</v>
      </c>
      <c r="C9" s="2" t="s">
        <v>89</v>
      </c>
      <c r="D9" s="2" t="s">
        <v>122</v>
      </c>
      <c r="E9" s="2" t="s">
        <v>92</v>
      </c>
      <c r="F9" s="2" t="s">
        <v>299</v>
      </c>
      <c r="G9" s="2" t="s">
        <v>300</v>
      </c>
      <c r="H9" s="2" t="s">
        <v>280</v>
      </c>
      <c r="I9" s="2" t="s">
        <v>281</v>
      </c>
      <c r="J9" s="2" t="s">
        <v>282</v>
      </c>
      <c r="K9" s="2" t="s">
        <v>93</v>
      </c>
      <c r="L9" s="2"/>
      <c r="M9" s="2" t="s">
        <v>283</v>
      </c>
      <c r="N9" s="2" t="s">
        <v>284</v>
      </c>
      <c r="O9" s="2" t="s">
        <v>285</v>
      </c>
      <c r="P9" s="2" t="s">
        <v>43</v>
      </c>
    </row>
    <row r="10" spans="1:16" ht="57">
      <c r="A10" s="2" t="s">
        <v>124</v>
      </c>
      <c r="B10" s="2" t="s">
        <v>44</v>
      </c>
      <c r="C10" s="2" t="s">
        <v>109</v>
      </c>
      <c r="D10" s="2" t="s">
        <v>125</v>
      </c>
      <c r="E10" s="2" t="s">
        <v>111</v>
      </c>
      <c r="F10" s="2" t="s">
        <v>301</v>
      </c>
      <c r="G10" s="2" t="s">
        <v>302</v>
      </c>
      <c r="H10" s="2" t="s">
        <v>280</v>
      </c>
      <c r="I10" s="2" t="s">
        <v>281</v>
      </c>
      <c r="J10" s="2" t="s">
        <v>282</v>
      </c>
      <c r="K10" s="2" t="s">
        <v>93</v>
      </c>
      <c r="L10" s="2"/>
      <c r="M10" s="2" t="s">
        <v>283</v>
      </c>
      <c r="N10" s="2" t="s">
        <v>284</v>
      </c>
      <c r="O10" s="2" t="s">
        <v>303</v>
      </c>
      <c r="P10" s="2" t="s">
        <v>304</v>
      </c>
    </row>
    <row r="11" spans="1:16" ht="57">
      <c r="A11" s="2" t="s">
        <v>127</v>
      </c>
      <c r="B11" s="2" t="s">
        <v>44</v>
      </c>
      <c r="C11" s="2" t="s">
        <v>98</v>
      </c>
      <c r="D11" s="2" t="s">
        <v>128</v>
      </c>
      <c r="E11" s="2" t="s">
        <v>100</v>
      </c>
      <c r="F11" s="2" t="s">
        <v>305</v>
      </c>
      <c r="G11" s="2" t="s">
        <v>306</v>
      </c>
      <c r="H11" s="2" t="s">
        <v>280</v>
      </c>
      <c r="I11" s="2" t="s">
        <v>281</v>
      </c>
      <c r="J11" s="2" t="s">
        <v>282</v>
      </c>
      <c r="K11" s="2" t="s">
        <v>93</v>
      </c>
      <c r="L11" s="2"/>
      <c r="M11" s="2" t="s">
        <v>283</v>
      </c>
      <c r="N11" s="2" t="s">
        <v>288</v>
      </c>
      <c r="O11" s="2" t="s">
        <v>303</v>
      </c>
      <c r="P11" s="2" t="s">
        <v>304</v>
      </c>
    </row>
    <row r="12" spans="1:16" ht="28.5">
      <c r="A12" s="2" t="s">
        <v>130</v>
      </c>
      <c r="B12" s="2" t="s">
        <v>44</v>
      </c>
      <c r="C12" s="2" t="s">
        <v>89</v>
      </c>
      <c r="D12" s="2" t="s">
        <v>131</v>
      </c>
      <c r="E12" s="2" t="s">
        <v>92</v>
      </c>
      <c r="F12" s="2" t="s">
        <v>307</v>
      </c>
      <c r="G12" s="2" t="s">
        <v>308</v>
      </c>
      <c r="H12" s="2" t="s">
        <v>280</v>
      </c>
      <c r="I12" s="2" t="s">
        <v>281</v>
      </c>
      <c r="J12" s="2" t="s">
        <v>282</v>
      </c>
      <c r="K12" s="2" t="s">
        <v>93</v>
      </c>
      <c r="L12" s="2"/>
      <c r="M12" s="2" t="s">
        <v>283</v>
      </c>
      <c r="N12" s="2" t="s">
        <v>284</v>
      </c>
      <c r="O12" s="2" t="s">
        <v>285</v>
      </c>
      <c r="P12" s="2" t="s">
        <v>43</v>
      </c>
    </row>
    <row r="13" spans="1:16" ht="42.75">
      <c r="A13" s="2" t="s">
        <v>133</v>
      </c>
      <c r="B13" s="2" t="s">
        <v>44</v>
      </c>
      <c r="C13" s="2" t="s">
        <v>109</v>
      </c>
      <c r="D13" s="2" t="s">
        <v>134</v>
      </c>
      <c r="E13" s="2" t="s">
        <v>111</v>
      </c>
      <c r="F13" s="2" t="s">
        <v>309</v>
      </c>
      <c r="G13" s="2" t="s">
        <v>310</v>
      </c>
      <c r="H13" s="2" t="s">
        <v>280</v>
      </c>
      <c r="I13" s="2" t="s">
        <v>281</v>
      </c>
      <c r="J13" s="2" t="s">
        <v>282</v>
      </c>
      <c r="K13" s="2" t="s">
        <v>93</v>
      </c>
      <c r="L13" s="2"/>
      <c r="M13" s="2" t="s">
        <v>283</v>
      </c>
      <c r="N13" s="2" t="s">
        <v>284</v>
      </c>
      <c r="O13" s="2" t="s">
        <v>285</v>
      </c>
      <c r="P13" s="2" t="s">
        <v>311</v>
      </c>
    </row>
    <row r="14" spans="1:16" ht="28.5">
      <c r="A14" s="2" t="s">
        <v>136</v>
      </c>
      <c r="B14" s="2" t="s">
        <v>44</v>
      </c>
      <c r="C14" s="2" t="s">
        <v>104</v>
      </c>
      <c r="D14" s="2" t="s">
        <v>137</v>
      </c>
      <c r="E14" s="2" t="s">
        <v>92</v>
      </c>
      <c r="F14" s="2" t="s">
        <v>312</v>
      </c>
      <c r="G14" s="2" t="s">
        <v>313</v>
      </c>
      <c r="H14" s="2" t="s">
        <v>280</v>
      </c>
      <c r="I14" s="2" t="s">
        <v>281</v>
      </c>
      <c r="J14" s="2" t="s">
        <v>282</v>
      </c>
      <c r="K14" s="2" t="s">
        <v>93</v>
      </c>
      <c r="L14" s="2"/>
      <c r="M14" s="2" t="s">
        <v>283</v>
      </c>
      <c r="N14" s="2" t="s">
        <v>284</v>
      </c>
      <c r="O14" s="2" t="s">
        <v>303</v>
      </c>
      <c r="P14" s="2" t="s">
        <v>43</v>
      </c>
    </row>
    <row r="15" spans="1:16" ht="28.5">
      <c r="A15" s="2" t="s">
        <v>138</v>
      </c>
      <c r="B15" s="2" t="s">
        <v>44</v>
      </c>
      <c r="C15" s="2" t="s">
        <v>89</v>
      </c>
      <c r="D15" s="2" t="s">
        <v>139</v>
      </c>
      <c r="E15" s="2" t="s">
        <v>92</v>
      </c>
      <c r="F15" s="2" t="s">
        <v>314</v>
      </c>
      <c r="G15" s="2" t="s">
        <v>315</v>
      </c>
      <c r="H15" s="2" t="s">
        <v>280</v>
      </c>
      <c r="I15" s="2" t="s">
        <v>281</v>
      </c>
      <c r="J15" s="2" t="s">
        <v>282</v>
      </c>
      <c r="K15" s="2" t="s">
        <v>93</v>
      </c>
      <c r="L15" s="2"/>
      <c r="M15" s="2" t="s">
        <v>283</v>
      </c>
      <c r="N15" s="2" t="s">
        <v>284</v>
      </c>
      <c r="O15" s="2" t="s">
        <v>285</v>
      </c>
      <c r="P15" s="2" t="s">
        <v>43</v>
      </c>
    </row>
    <row r="16" spans="1:16" ht="28.5">
      <c r="A16" s="2" t="s">
        <v>141</v>
      </c>
      <c r="B16" s="2" t="s">
        <v>44</v>
      </c>
      <c r="C16" s="2" t="s">
        <v>104</v>
      </c>
      <c r="D16" s="2" t="s">
        <v>142</v>
      </c>
      <c r="E16" s="2" t="s">
        <v>92</v>
      </c>
      <c r="F16" s="2" t="s">
        <v>316</v>
      </c>
      <c r="G16" s="2" t="s">
        <v>317</v>
      </c>
      <c r="H16" s="2" t="s">
        <v>280</v>
      </c>
      <c r="I16" s="2" t="s">
        <v>281</v>
      </c>
      <c r="J16" s="2" t="s">
        <v>282</v>
      </c>
      <c r="K16" s="2" t="s">
        <v>93</v>
      </c>
      <c r="L16" s="2"/>
      <c r="M16" s="2" t="s">
        <v>283</v>
      </c>
      <c r="N16" s="2" t="s">
        <v>284</v>
      </c>
      <c r="O16" s="2" t="s">
        <v>285</v>
      </c>
      <c r="P16" s="2" t="s">
        <v>43</v>
      </c>
    </row>
    <row r="17" spans="1:16" ht="42.75">
      <c r="A17" s="2" t="s">
        <v>143</v>
      </c>
      <c r="B17" s="2" t="s">
        <v>44</v>
      </c>
      <c r="C17" s="2" t="s">
        <v>98</v>
      </c>
      <c r="D17" s="2" t="s">
        <v>144</v>
      </c>
      <c r="E17" s="2" t="s">
        <v>100</v>
      </c>
      <c r="F17" s="2" t="s">
        <v>318</v>
      </c>
      <c r="G17" s="2" t="s">
        <v>319</v>
      </c>
      <c r="H17" s="2" t="s">
        <v>280</v>
      </c>
      <c r="I17" s="2" t="s">
        <v>281</v>
      </c>
      <c r="J17" s="2" t="s">
        <v>282</v>
      </c>
      <c r="K17" s="2" t="s">
        <v>93</v>
      </c>
      <c r="L17" s="2"/>
      <c r="M17" s="2" t="s">
        <v>283</v>
      </c>
      <c r="N17" s="2" t="s">
        <v>288</v>
      </c>
      <c r="O17" s="2" t="s">
        <v>303</v>
      </c>
      <c r="P17" s="2" t="s">
        <v>43</v>
      </c>
    </row>
    <row r="18" spans="1:16" ht="42.75">
      <c r="A18" s="2" t="s">
        <v>146</v>
      </c>
      <c r="B18" s="2" t="s">
        <v>49</v>
      </c>
      <c r="C18" s="2" t="s">
        <v>109</v>
      </c>
      <c r="D18" s="2" t="s">
        <v>147</v>
      </c>
      <c r="E18" s="2" t="s">
        <v>111</v>
      </c>
      <c r="F18" s="2" t="s">
        <v>320</v>
      </c>
      <c r="G18" s="2" t="s">
        <v>321</v>
      </c>
      <c r="H18" s="2" t="s">
        <v>280</v>
      </c>
      <c r="I18" s="2" t="s">
        <v>281</v>
      </c>
      <c r="J18" s="2" t="s">
        <v>282</v>
      </c>
      <c r="K18" s="2" t="s">
        <v>93</v>
      </c>
      <c r="L18" s="2"/>
      <c r="M18" s="2" t="s">
        <v>283</v>
      </c>
      <c r="N18" s="2" t="s">
        <v>284</v>
      </c>
      <c r="O18" s="2" t="s">
        <v>285</v>
      </c>
      <c r="P18" s="2" t="s">
        <v>322</v>
      </c>
    </row>
    <row r="19" spans="1:16" ht="28.5">
      <c r="A19" s="2" t="s">
        <v>149</v>
      </c>
      <c r="B19" s="2" t="s">
        <v>49</v>
      </c>
      <c r="C19" s="2" t="s">
        <v>89</v>
      </c>
      <c r="D19" s="2" t="s">
        <v>150</v>
      </c>
      <c r="E19" s="2" t="s">
        <v>92</v>
      </c>
      <c r="F19" s="2" t="s">
        <v>323</v>
      </c>
      <c r="G19" s="2" t="s">
        <v>324</v>
      </c>
      <c r="H19" s="2" t="s">
        <v>280</v>
      </c>
      <c r="I19" s="2" t="s">
        <v>281</v>
      </c>
      <c r="J19" s="2" t="s">
        <v>282</v>
      </c>
      <c r="K19" s="2" t="s">
        <v>93</v>
      </c>
      <c r="L19" s="2"/>
      <c r="M19" s="2" t="s">
        <v>283</v>
      </c>
      <c r="N19" s="2" t="s">
        <v>284</v>
      </c>
      <c r="O19" s="2" t="s">
        <v>285</v>
      </c>
      <c r="P19" s="2" t="s">
        <v>48</v>
      </c>
    </row>
    <row r="20" spans="1:16" ht="42.75">
      <c r="A20" s="2" t="s">
        <v>152</v>
      </c>
      <c r="B20" s="2" t="s">
        <v>49</v>
      </c>
      <c r="C20" s="2" t="s">
        <v>109</v>
      </c>
      <c r="D20" s="2" t="s">
        <v>153</v>
      </c>
      <c r="E20" s="2" t="s">
        <v>111</v>
      </c>
      <c r="F20" s="2" t="s">
        <v>325</v>
      </c>
      <c r="G20" s="2" t="s">
        <v>326</v>
      </c>
      <c r="H20" s="2" t="s">
        <v>280</v>
      </c>
      <c r="I20" s="2" t="s">
        <v>281</v>
      </c>
      <c r="J20" s="2" t="s">
        <v>282</v>
      </c>
      <c r="K20" s="2" t="s">
        <v>93</v>
      </c>
      <c r="L20" s="2"/>
      <c r="M20" s="2" t="s">
        <v>283</v>
      </c>
      <c r="N20" s="2" t="s">
        <v>284</v>
      </c>
      <c r="O20" s="2" t="s">
        <v>285</v>
      </c>
      <c r="P20" s="2" t="s">
        <v>322</v>
      </c>
    </row>
    <row r="21" spans="1:16" ht="57">
      <c r="A21" s="2" t="s">
        <v>155</v>
      </c>
      <c r="B21" s="2" t="s">
        <v>49</v>
      </c>
      <c r="C21" s="2" t="s">
        <v>98</v>
      </c>
      <c r="D21" s="2" t="s">
        <v>156</v>
      </c>
      <c r="E21" s="2" t="s">
        <v>100</v>
      </c>
      <c r="F21" s="2" t="s">
        <v>327</v>
      </c>
      <c r="G21" s="2" t="s">
        <v>328</v>
      </c>
      <c r="H21" s="2" t="s">
        <v>280</v>
      </c>
      <c r="I21" s="2" t="s">
        <v>281</v>
      </c>
      <c r="J21" s="2" t="s">
        <v>282</v>
      </c>
      <c r="K21" s="2" t="s">
        <v>93</v>
      </c>
      <c r="L21" s="2"/>
      <c r="M21" s="2" t="s">
        <v>283</v>
      </c>
      <c r="N21" s="2" t="s">
        <v>288</v>
      </c>
      <c r="O21" s="2" t="s">
        <v>303</v>
      </c>
      <c r="P21" s="2" t="s">
        <v>48</v>
      </c>
    </row>
    <row r="22" spans="1:16" ht="28.5">
      <c r="A22" s="2" t="s">
        <v>159</v>
      </c>
      <c r="B22" s="2" t="s">
        <v>49</v>
      </c>
      <c r="C22" s="2" t="s">
        <v>89</v>
      </c>
      <c r="D22" s="2" t="s">
        <v>160</v>
      </c>
      <c r="E22" s="2" t="s">
        <v>92</v>
      </c>
      <c r="F22" s="2" t="s">
        <v>329</v>
      </c>
      <c r="G22" s="2" t="s">
        <v>330</v>
      </c>
      <c r="H22" s="2" t="s">
        <v>280</v>
      </c>
      <c r="I22" s="2" t="s">
        <v>281</v>
      </c>
      <c r="J22" s="2" t="s">
        <v>282</v>
      </c>
      <c r="K22" s="2" t="s">
        <v>93</v>
      </c>
      <c r="L22" s="2"/>
      <c r="M22" s="2" t="s">
        <v>283</v>
      </c>
      <c r="N22" s="2" t="s">
        <v>284</v>
      </c>
      <c r="O22" s="2" t="s">
        <v>285</v>
      </c>
      <c r="P22" s="2" t="s">
        <v>48</v>
      </c>
    </row>
    <row r="23" spans="1:16" ht="28.5">
      <c r="A23" s="2" t="s">
        <v>162</v>
      </c>
      <c r="B23" s="2" t="s">
        <v>49</v>
      </c>
      <c r="C23" s="2" t="s">
        <v>89</v>
      </c>
      <c r="D23" s="2" t="s">
        <v>163</v>
      </c>
      <c r="E23" s="2" t="s">
        <v>92</v>
      </c>
      <c r="F23" s="2" t="s">
        <v>331</v>
      </c>
      <c r="G23" s="2" t="s">
        <v>332</v>
      </c>
      <c r="H23" s="2" t="s">
        <v>280</v>
      </c>
      <c r="I23" s="2" t="s">
        <v>281</v>
      </c>
      <c r="J23" s="2" t="s">
        <v>282</v>
      </c>
      <c r="K23" s="2" t="s">
        <v>93</v>
      </c>
      <c r="L23" s="2"/>
      <c r="M23" s="2" t="s">
        <v>283</v>
      </c>
      <c r="N23" s="2" t="s">
        <v>284</v>
      </c>
      <c r="O23" s="2" t="s">
        <v>285</v>
      </c>
      <c r="P23" s="2" t="s">
        <v>48</v>
      </c>
    </row>
    <row r="24" spans="1:16" ht="28.5">
      <c r="A24" s="2" t="s">
        <v>165</v>
      </c>
      <c r="B24" s="2" t="s">
        <v>49</v>
      </c>
      <c r="C24" s="2" t="s">
        <v>104</v>
      </c>
      <c r="D24" s="2" t="s">
        <v>166</v>
      </c>
      <c r="E24" s="2" t="s">
        <v>92</v>
      </c>
      <c r="F24" s="2" t="s">
        <v>333</v>
      </c>
      <c r="G24" s="2" t="s">
        <v>334</v>
      </c>
      <c r="H24" s="2" t="s">
        <v>280</v>
      </c>
      <c r="I24" s="2" t="s">
        <v>281</v>
      </c>
      <c r="J24" s="2" t="s">
        <v>282</v>
      </c>
      <c r="K24" s="2" t="s">
        <v>93</v>
      </c>
      <c r="L24" s="2"/>
      <c r="M24" s="2" t="s">
        <v>283</v>
      </c>
      <c r="N24" s="2" t="s">
        <v>284</v>
      </c>
      <c r="O24" s="2" t="s">
        <v>285</v>
      </c>
      <c r="P24" s="2" t="s">
        <v>48</v>
      </c>
    </row>
    <row r="25" spans="1:16" ht="57">
      <c r="A25" s="2" t="s">
        <v>167</v>
      </c>
      <c r="B25" s="2" t="s">
        <v>54</v>
      </c>
      <c r="C25" s="2" t="s">
        <v>109</v>
      </c>
      <c r="D25" s="2" t="s">
        <v>168</v>
      </c>
      <c r="E25" s="2" t="s">
        <v>111</v>
      </c>
      <c r="F25" s="2" t="s">
        <v>335</v>
      </c>
      <c r="G25" s="2" t="s">
        <v>336</v>
      </c>
      <c r="H25" s="2" t="s">
        <v>280</v>
      </c>
      <c r="I25" s="2" t="s">
        <v>281</v>
      </c>
      <c r="J25" s="2" t="s">
        <v>282</v>
      </c>
      <c r="K25" s="2" t="s">
        <v>93</v>
      </c>
      <c r="L25" s="2"/>
      <c r="M25" s="2" t="s">
        <v>283</v>
      </c>
      <c r="N25" s="2" t="s">
        <v>284</v>
      </c>
      <c r="O25" s="2" t="s">
        <v>303</v>
      </c>
      <c r="P25" s="2" t="s">
        <v>337</v>
      </c>
    </row>
    <row r="26" spans="1:16" ht="42.75">
      <c r="A26" s="2" t="s">
        <v>170</v>
      </c>
      <c r="B26" s="2" t="s">
        <v>54</v>
      </c>
      <c r="C26" s="2" t="s">
        <v>98</v>
      </c>
      <c r="D26" s="2" t="s">
        <v>171</v>
      </c>
      <c r="E26" s="2" t="s">
        <v>100</v>
      </c>
      <c r="F26" s="2" t="s">
        <v>338</v>
      </c>
      <c r="G26" s="2" t="s">
        <v>339</v>
      </c>
      <c r="H26" s="2" t="s">
        <v>280</v>
      </c>
      <c r="I26" s="2" t="s">
        <v>281</v>
      </c>
      <c r="J26" s="2" t="s">
        <v>282</v>
      </c>
      <c r="K26" s="2" t="s">
        <v>93</v>
      </c>
      <c r="L26" s="2"/>
      <c r="M26" s="2" t="s">
        <v>283</v>
      </c>
      <c r="N26" s="2" t="s">
        <v>288</v>
      </c>
      <c r="O26" s="2" t="s">
        <v>303</v>
      </c>
      <c r="P26" s="2" t="s">
        <v>340</v>
      </c>
    </row>
    <row r="27" spans="1:16" ht="42.75">
      <c r="A27" s="2" t="s">
        <v>173</v>
      </c>
      <c r="B27" s="2" t="s">
        <v>54</v>
      </c>
      <c r="C27" s="2" t="s">
        <v>104</v>
      </c>
      <c r="D27" s="2" t="s">
        <v>174</v>
      </c>
      <c r="E27" s="2" t="s">
        <v>92</v>
      </c>
      <c r="F27" s="2" t="s">
        <v>341</v>
      </c>
      <c r="G27" s="2" t="s">
        <v>342</v>
      </c>
      <c r="H27" s="2" t="s">
        <v>280</v>
      </c>
      <c r="I27" s="2" t="s">
        <v>281</v>
      </c>
      <c r="J27" s="2" t="s">
        <v>282</v>
      </c>
      <c r="K27" s="2" t="s">
        <v>93</v>
      </c>
      <c r="L27" s="2"/>
      <c r="M27" s="2" t="s">
        <v>283</v>
      </c>
      <c r="N27" s="2" t="s">
        <v>284</v>
      </c>
      <c r="O27" s="2" t="s">
        <v>303</v>
      </c>
      <c r="P27" s="2" t="s">
        <v>53</v>
      </c>
    </row>
    <row r="28" spans="1:16" ht="28.5">
      <c r="A28" s="2" t="s">
        <v>175</v>
      </c>
      <c r="B28" s="2" t="s">
        <v>54</v>
      </c>
      <c r="C28" s="2" t="s">
        <v>89</v>
      </c>
      <c r="D28" s="2" t="s">
        <v>176</v>
      </c>
      <c r="E28" s="2" t="s">
        <v>92</v>
      </c>
      <c r="F28" s="2" t="s">
        <v>343</v>
      </c>
      <c r="G28" s="2" t="s">
        <v>344</v>
      </c>
      <c r="H28" s="2" t="s">
        <v>280</v>
      </c>
      <c r="I28" s="2" t="s">
        <v>281</v>
      </c>
      <c r="J28" s="2" t="s">
        <v>282</v>
      </c>
      <c r="K28" s="2" t="s">
        <v>93</v>
      </c>
      <c r="L28" s="2"/>
      <c r="M28" s="2" t="s">
        <v>283</v>
      </c>
      <c r="N28" s="2" t="s">
        <v>284</v>
      </c>
      <c r="O28" s="2" t="s">
        <v>285</v>
      </c>
      <c r="P28" s="2" t="s">
        <v>53</v>
      </c>
    </row>
    <row r="29" spans="1:16" ht="57">
      <c r="A29" s="2" t="s">
        <v>178</v>
      </c>
      <c r="B29" s="2" t="s">
        <v>54</v>
      </c>
      <c r="C29" s="2" t="s">
        <v>109</v>
      </c>
      <c r="D29" s="2" t="s">
        <v>179</v>
      </c>
      <c r="E29" s="2" t="s">
        <v>111</v>
      </c>
      <c r="F29" s="2" t="s">
        <v>345</v>
      </c>
      <c r="G29" s="2" t="s">
        <v>346</v>
      </c>
      <c r="H29" s="2" t="s">
        <v>280</v>
      </c>
      <c r="I29" s="2" t="s">
        <v>281</v>
      </c>
      <c r="J29" s="2" t="s">
        <v>282</v>
      </c>
      <c r="K29" s="2" t="s">
        <v>93</v>
      </c>
      <c r="L29" s="2"/>
      <c r="M29" s="2" t="s">
        <v>283</v>
      </c>
      <c r="N29" s="2" t="s">
        <v>284</v>
      </c>
      <c r="O29" s="2" t="s">
        <v>285</v>
      </c>
      <c r="P29" s="2" t="s">
        <v>347</v>
      </c>
    </row>
    <row r="30" spans="1:16" ht="42.75">
      <c r="A30" s="2" t="s">
        <v>181</v>
      </c>
      <c r="B30" s="2" t="s">
        <v>54</v>
      </c>
      <c r="C30" s="2" t="s">
        <v>109</v>
      </c>
      <c r="D30" s="2" t="s">
        <v>182</v>
      </c>
      <c r="E30" s="2" t="s">
        <v>111</v>
      </c>
      <c r="F30" s="2" t="s">
        <v>348</v>
      </c>
      <c r="G30" s="2" t="s">
        <v>349</v>
      </c>
      <c r="H30" s="2" t="s">
        <v>280</v>
      </c>
      <c r="I30" s="2" t="s">
        <v>281</v>
      </c>
      <c r="J30" s="2" t="s">
        <v>282</v>
      </c>
      <c r="K30" s="2" t="s">
        <v>93</v>
      </c>
      <c r="L30" s="2"/>
      <c r="M30" s="2" t="s">
        <v>283</v>
      </c>
      <c r="N30" s="2" t="s">
        <v>284</v>
      </c>
      <c r="O30" s="2" t="s">
        <v>303</v>
      </c>
      <c r="P30" s="2" t="s">
        <v>350</v>
      </c>
    </row>
    <row r="31" spans="1:16" ht="28.5">
      <c r="A31" s="2" t="s">
        <v>184</v>
      </c>
      <c r="B31" s="2" t="s">
        <v>54</v>
      </c>
      <c r="C31" s="2" t="s">
        <v>104</v>
      </c>
      <c r="D31" s="2" t="s">
        <v>185</v>
      </c>
      <c r="E31" s="2" t="s">
        <v>92</v>
      </c>
      <c r="F31" s="2" t="s">
        <v>351</v>
      </c>
      <c r="G31" s="2" t="s">
        <v>352</v>
      </c>
      <c r="H31" s="2" t="s">
        <v>280</v>
      </c>
      <c r="I31" s="2" t="s">
        <v>281</v>
      </c>
      <c r="J31" s="2" t="s">
        <v>282</v>
      </c>
      <c r="K31" s="2" t="s">
        <v>93</v>
      </c>
      <c r="L31" s="2"/>
      <c r="M31" s="2" t="s">
        <v>283</v>
      </c>
      <c r="N31" s="2" t="s">
        <v>284</v>
      </c>
      <c r="O31" s="2" t="s">
        <v>285</v>
      </c>
      <c r="P31" s="2" t="s">
        <v>53</v>
      </c>
    </row>
    <row r="32" spans="1:16" ht="28.5">
      <c r="A32" s="2" t="s">
        <v>186</v>
      </c>
      <c r="B32" s="2" t="s">
        <v>54</v>
      </c>
      <c r="C32" s="2" t="s">
        <v>104</v>
      </c>
      <c r="D32" s="2" t="s">
        <v>187</v>
      </c>
      <c r="E32" s="2" t="s">
        <v>92</v>
      </c>
      <c r="F32" s="2" t="s">
        <v>353</v>
      </c>
      <c r="G32" s="2" t="s">
        <v>354</v>
      </c>
      <c r="H32" s="2" t="s">
        <v>280</v>
      </c>
      <c r="I32" s="2" t="s">
        <v>281</v>
      </c>
      <c r="J32" s="2" t="s">
        <v>282</v>
      </c>
      <c r="K32" s="2" t="s">
        <v>93</v>
      </c>
      <c r="L32" s="2"/>
      <c r="M32" s="2" t="s">
        <v>283</v>
      </c>
      <c r="N32" s="2" t="s">
        <v>284</v>
      </c>
      <c r="O32" s="2" t="s">
        <v>285</v>
      </c>
      <c r="P32" s="2" t="s">
        <v>53</v>
      </c>
    </row>
    <row r="33" spans="1:16" ht="28.5">
      <c r="A33" s="2" t="s">
        <v>188</v>
      </c>
      <c r="B33" s="2" t="s">
        <v>59</v>
      </c>
      <c r="C33" s="2" t="s">
        <v>89</v>
      </c>
      <c r="D33" s="2" t="s">
        <v>189</v>
      </c>
      <c r="E33" s="2" t="s">
        <v>92</v>
      </c>
      <c r="F33" s="2" t="s">
        <v>355</v>
      </c>
      <c r="G33" s="2" t="s">
        <v>356</v>
      </c>
      <c r="H33" s="2" t="s">
        <v>280</v>
      </c>
      <c r="I33" s="2" t="s">
        <v>281</v>
      </c>
      <c r="J33" s="2" t="s">
        <v>282</v>
      </c>
      <c r="K33" s="2" t="s">
        <v>93</v>
      </c>
      <c r="L33" s="2"/>
      <c r="M33" s="2" t="s">
        <v>283</v>
      </c>
      <c r="N33" s="2" t="s">
        <v>284</v>
      </c>
      <c r="O33" s="2" t="s">
        <v>285</v>
      </c>
      <c r="P33" s="2" t="s">
        <v>58</v>
      </c>
    </row>
    <row r="34" spans="1:16">
      <c r="A34" s="2" t="s">
        <v>191</v>
      </c>
      <c r="B34" s="2" t="s">
        <v>59</v>
      </c>
      <c r="C34" s="2" t="s">
        <v>104</v>
      </c>
      <c r="D34" s="2" t="s">
        <v>192</v>
      </c>
      <c r="E34" s="2" t="s">
        <v>92</v>
      </c>
      <c r="F34" s="2" t="s">
        <v>357</v>
      </c>
      <c r="G34" s="2" t="s">
        <v>358</v>
      </c>
      <c r="H34" s="2" t="s">
        <v>280</v>
      </c>
      <c r="I34" s="2" t="s">
        <v>281</v>
      </c>
      <c r="J34" s="2" t="s">
        <v>282</v>
      </c>
      <c r="K34" s="2" t="s">
        <v>93</v>
      </c>
      <c r="L34" s="2"/>
      <c r="M34" s="2" t="s">
        <v>283</v>
      </c>
      <c r="N34" s="2" t="s">
        <v>284</v>
      </c>
      <c r="O34" s="2" t="s">
        <v>285</v>
      </c>
      <c r="P34" s="2" t="s">
        <v>58</v>
      </c>
    </row>
    <row r="35" spans="1:16" ht="28.5">
      <c r="A35" s="2" t="s">
        <v>193</v>
      </c>
      <c r="B35" s="2" t="s">
        <v>59</v>
      </c>
      <c r="C35" s="2" t="s">
        <v>104</v>
      </c>
      <c r="D35" s="2" t="s">
        <v>194</v>
      </c>
      <c r="E35" s="2" t="s">
        <v>92</v>
      </c>
      <c r="F35" s="2" t="s">
        <v>359</v>
      </c>
      <c r="G35" s="2" t="s">
        <v>360</v>
      </c>
      <c r="H35" s="2" t="s">
        <v>280</v>
      </c>
      <c r="I35" s="2" t="s">
        <v>281</v>
      </c>
      <c r="J35" s="2" t="s">
        <v>282</v>
      </c>
      <c r="K35" s="2" t="s">
        <v>93</v>
      </c>
      <c r="L35" s="2"/>
      <c r="M35" s="2" t="s">
        <v>283</v>
      </c>
      <c r="N35" s="2" t="s">
        <v>284</v>
      </c>
      <c r="O35" s="2" t="s">
        <v>285</v>
      </c>
      <c r="P35" s="2" t="s">
        <v>58</v>
      </c>
    </row>
    <row r="36" spans="1:16" ht="42.75">
      <c r="A36" s="2" t="s">
        <v>195</v>
      </c>
      <c r="B36" s="2" t="s">
        <v>59</v>
      </c>
      <c r="C36" s="2" t="s">
        <v>109</v>
      </c>
      <c r="D36" s="2" t="s">
        <v>196</v>
      </c>
      <c r="E36" s="2" t="s">
        <v>111</v>
      </c>
      <c r="F36" s="2" t="s">
        <v>361</v>
      </c>
      <c r="G36" s="2" t="s">
        <v>362</v>
      </c>
      <c r="H36" s="2" t="s">
        <v>280</v>
      </c>
      <c r="I36" s="2" t="s">
        <v>281</v>
      </c>
      <c r="J36" s="2" t="s">
        <v>282</v>
      </c>
      <c r="K36" s="2" t="s">
        <v>93</v>
      </c>
      <c r="L36" s="2"/>
      <c r="M36" s="2" t="s">
        <v>283</v>
      </c>
      <c r="N36" s="2" t="s">
        <v>284</v>
      </c>
      <c r="O36" s="2" t="s">
        <v>285</v>
      </c>
      <c r="P36" s="2" t="s">
        <v>363</v>
      </c>
    </row>
    <row r="37" spans="1:16">
      <c r="A37" s="2" t="s">
        <v>198</v>
      </c>
      <c r="B37" s="2" t="s">
        <v>65</v>
      </c>
      <c r="C37" s="2" t="s">
        <v>104</v>
      </c>
      <c r="D37" s="2" t="s">
        <v>199</v>
      </c>
      <c r="E37" s="2" t="s">
        <v>92</v>
      </c>
      <c r="F37" s="2" t="s">
        <v>364</v>
      </c>
      <c r="G37" s="2" t="s">
        <v>365</v>
      </c>
      <c r="H37" s="2" t="s">
        <v>280</v>
      </c>
      <c r="I37" s="2" t="s">
        <v>281</v>
      </c>
      <c r="J37" s="2" t="s">
        <v>282</v>
      </c>
      <c r="K37" s="2" t="s">
        <v>93</v>
      </c>
      <c r="L37" s="2"/>
      <c r="M37" s="2" t="s">
        <v>283</v>
      </c>
      <c r="N37" s="2" t="s">
        <v>284</v>
      </c>
      <c r="O37" s="2" t="s">
        <v>285</v>
      </c>
      <c r="P37" s="2" t="s">
        <v>64</v>
      </c>
    </row>
    <row r="38" spans="1:16" ht="28.5">
      <c r="A38" s="2" t="s">
        <v>200</v>
      </c>
      <c r="B38" s="2" t="s">
        <v>65</v>
      </c>
      <c r="C38" s="2" t="s">
        <v>104</v>
      </c>
      <c r="D38" s="2" t="s">
        <v>201</v>
      </c>
      <c r="E38" s="2" t="s">
        <v>92</v>
      </c>
      <c r="F38" s="2" t="s">
        <v>366</v>
      </c>
      <c r="G38" s="2" t="s">
        <v>367</v>
      </c>
      <c r="H38" s="2" t="s">
        <v>280</v>
      </c>
      <c r="I38" s="2" t="s">
        <v>281</v>
      </c>
      <c r="J38" s="2" t="s">
        <v>282</v>
      </c>
      <c r="K38" s="2" t="s">
        <v>93</v>
      </c>
      <c r="L38" s="2"/>
      <c r="M38" s="2" t="s">
        <v>283</v>
      </c>
      <c r="N38" s="2" t="s">
        <v>284</v>
      </c>
      <c r="O38" s="2" t="s">
        <v>285</v>
      </c>
      <c r="P38" s="2" t="s">
        <v>64</v>
      </c>
    </row>
    <row r="39" spans="1:16" ht="28.5">
      <c r="A39" s="2" t="s">
        <v>202</v>
      </c>
      <c r="B39" s="2" t="s">
        <v>65</v>
      </c>
      <c r="C39" s="2" t="s">
        <v>89</v>
      </c>
      <c r="D39" s="2" t="s">
        <v>203</v>
      </c>
      <c r="E39" s="2" t="s">
        <v>92</v>
      </c>
      <c r="F39" s="2" t="s">
        <v>368</v>
      </c>
      <c r="G39" s="2" t="s">
        <v>369</v>
      </c>
      <c r="H39" s="2" t="s">
        <v>280</v>
      </c>
      <c r="I39" s="2" t="s">
        <v>281</v>
      </c>
      <c r="J39" s="2" t="s">
        <v>282</v>
      </c>
      <c r="K39" s="2" t="s">
        <v>93</v>
      </c>
      <c r="L39" s="2"/>
      <c r="M39" s="2" t="s">
        <v>283</v>
      </c>
      <c r="N39" s="2" t="s">
        <v>284</v>
      </c>
      <c r="O39" s="2" t="s">
        <v>285</v>
      </c>
      <c r="P39" s="2" t="s">
        <v>64</v>
      </c>
    </row>
    <row r="40" spans="1:16" ht="28.5">
      <c r="A40" s="2" t="s">
        <v>205</v>
      </c>
      <c r="B40" s="2" t="s">
        <v>65</v>
      </c>
      <c r="C40" s="2" t="s">
        <v>104</v>
      </c>
      <c r="D40" s="2" t="s">
        <v>206</v>
      </c>
      <c r="E40" s="2" t="s">
        <v>92</v>
      </c>
      <c r="F40" s="2" t="s">
        <v>370</v>
      </c>
      <c r="G40" s="2" t="s">
        <v>371</v>
      </c>
      <c r="H40" s="2" t="s">
        <v>280</v>
      </c>
      <c r="I40" s="2" t="s">
        <v>281</v>
      </c>
      <c r="J40" s="2" t="s">
        <v>282</v>
      </c>
      <c r="K40" s="2" t="s">
        <v>93</v>
      </c>
      <c r="L40" s="2"/>
      <c r="M40" s="2" t="s">
        <v>283</v>
      </c>
      <c r="N40" s="2" t="s">
        <v>284</v>
      </c>
      <c r="O40" s="2" t="s">
        <v>285</v>
      </c>
      <c r="P40" s="2" t="s">
        <v>64</v>
      </c>
    </row>
    <row r="41" spans="1:16" ht="42.75">
      <c r="A41" s="2" t="s">
        <v>207</v>
      </c>
      <c r="B41" s="2" t="s">
        <v>65</v>
      </c>
      <c r="C41" s="2" t="s">
        <v>109</v>
      </c>
      <c r="D41" s="2" t="s">
        <v>208</v>
      </c>
      <c r="E41" s="2" t="s">
        <v>111</v>
      </c>
      <c r="F41" s="2" t="s">
        <v>372</v>
      </c>
      <c r="G41" s="2" t="s">
        <v>373</v>
      </c>
      <c r="H41" s="2" t="s">
        <v>280</v>
      </c>
      <c r="I41" s="2" t="s">
        <v>281</v>
      </c>
      <c r="J41" s="2" t="s">
        <v>282</v>
      </c>
      <c r="K41" s="2" t="s">
        <v>93</v>
      </c>
      <c r="L41" s="2"/>
      <c r="M41" s="2" t="s">
        <v>283</v>
      </c>
      <c r="N41" s="2" t="s">
        <v>284</v>
      </c>
      <c r="O41" s="2" t="s">
        <v>285</v>
      </c>
      <c r="P41" s="2" t="s">
        <v>374</v>
      </c>
    </row>
    <row r="42" spans="1:16" ht="28.5">
      <c r="A42" s="2" t="s">
        <v>210</v>
      </c>
      <c r="B42" s="2" t="s">
        <v>65</v>
      </c>
      <c r="C42" s="2" t="s">
        <v>104</v>
      </c>
      <c r="D42" s="2" t="s">
        <v>211</v>
      </c>
      <c r="E42" s="2" t="s">
        <v>92</v>
      </c>
      <c r="F42" s="2" t="s">
        <v>375</v>
      </c>
      <c r="G42" s="2" t="s">
        <v>376</v>
      </c>
      <c r="H42" s="2" t="s">
        <v>280</v>
      </c>
      <c r="I42" s="2" t="s">
        <v>281</v>
      </c>
      <c r="J42" s="2" t="s">
        <v>282</v>
      </c>
      <c r="K42" s="2" t="s">
        <v>93</v>
      </c>
      <c r="L42" s="2"/>
      <c r="M42" s="2" t="s">
        <v>283</v>
      </c>
      <c r="N42" s="2" t="s">
        <v>284</v>
      </c>
      <c r="O42" s="2" t="s">
        <v>285</v>
      </c>
      <c r="P42" s="2" t="s">
        <v>64</v>
      </c>
    </row>
    <row r="43" spans="1:16" ht="57">
      <c r="A43" s="2" t="s">
        <v>212</v>
      </c>
      <c r="B43" s="2" t="s">
        <v>65</v>
      </c>
      <c r="C43" s="2" t="s">
        <v>98</v>
      </c>
      <c r="D43" s="2" t="s">
        <v>213</v>
      </c>
      <c r="E43" s="2" t="s">
        <v>100</v>
      </c>
      <c r="F43" s="2" t="s">
        <v>377</v>
      </c>
      <c r="G43" s="2" t="s">
        <v>378</v>
      </c>
      <c r="H43" s="2" t="s">
        <v>280</v>
      </c>
      <c r="I43" s="2" t="s">
        <v>281</v>
      </c>
      <c r="J43" s="2" t="s">
        <v>282</v>
      </c>
      <c r="K43" s="2" t="s">
        <v>93</v>
      </c>
      <c r="L43" s="2"/>
      <c r="M43" s="2" t="s">
        <v>283</v>
      </c>
      <c r="N43" s="2" t="s">
        <v>288</v>
      </c>
      <c r="O43" s="2" t="s">
        <v>303</v>
      </c>
      <c r="P43" s="2" t="s">
        <v>64</v>
      </c>
    </row>
    <row r="44" spans="1:16" ht="28.5">
      <c r="A44" s="2" t="s">
        <v>215</v>
      </c>
      <c r="B44" s="2" t="s">
        <v>69</v>
      </c>
      <c r="C44" s="2" t="s">
        <v>104</v>
      </c>
      <c r="D44" s="2" t="s">
        <v>216</v>
      </c>
      <c r="E44" s="2" t="s">
        <v>92</v>
      </c>
      <c r="F44" s="2" t="s">
        <v>379</v>
      </c>
      <c r="G44" s="2" t="s">
        <v>380</v>
      </c>
      <c r="H44" s="2" t="s">
        <v>280</v>
      </c>
      <c r="I44" s="2" t="s">
        <v>281</v>
      </c>
      <c r="J44" s="2" t="s">
        <v>282</v>
      </c>
      <c r="K44" s="2" t="s">
        <v>93</v>
      </c>
      <c r="L44" s="2"/>
      <c r="M44" s="2" t="s">
        <v>283</v>
      </c>
      <c r="N44" s="2" t="s">
        <v>284</v>
      </c>
      <c r="O44" s="2" t="s">
        <v>285</v>
      </c>
      <c r="P44" s="2" t="s">
        <v>68</v>
      </c>
    </row>
    <row r="45" spans="1:16" ht="28.5">
      <c r="A45" s="2" t="s">
        <v>217</v>
      </c>
      <c r="B45" s="2" t="s">
        <v>69</v>
      </c>
      <c r="C45" s="2" t="s">
        <v>104</v>
      </c>
      <c r="D45" s="2" t="s">
        <v>218</v>
      </c>
      <c r="E45" s="2" t="s">
        <v>92</v>
      </c>
      <c r="F45" s="2" t="s">
        <v>381</v>
      </c>
      <c r="G45" s="2" t="s">
        <v>382</v>
      </c>
      <c r="H45" s="2" t="s">
        <v>280</v>
      </c>
      <c r="I45" s="2" t="s">
        <v>281</v>
      </c>
      <c r="J45" s="2" t="s">
        <v>282</v>
      </c>
      <c r="K45" s="2" t="s">
        <v>93</v>
      </c>
      <c r="L45" s="2"/>
      <c r="M45" s="2" t="s">
        <v>283</v>
      </c>
      <c r="N45" s="2" t="s">
        <v>284</v>
      </c>
      <c r="O45" s="2" t="s">
        <v>285</v>
      </c>
      <c r="P45" s="2" t="s">
        <v>68</v>
      </c>
    </row>
    <row r="46" spans="1:16" ht="57">
      <c r="A46" s="2" t="s">
        <v>219</v>
      </c>
      <c r="B46" s="2" t="s">
        <v>69</v>
      </c>
      <c r="C46" s="2" t="s">
        <v>109</v>
      </c>
      <c r="D46" s="2" t="s">
        <v>220</v>
      </c>
      <c r="E46" s="2" t="s">
        <v>111</v>
      </c>
      <c r="F46" s="2" t="s">
        <v>383</v>
      </c>
      <c r="G46" s="2" t="s">
        <v>384</v>
      </c>
      <c r="H46" s="2" t="s">
        <v>280</v>
      </c>
      <c r="I46" s="2" t="s">
        <v>281</v>
      </c>
      <c r="J46" s="2" t="s">
        <v>282</v>
      </c>
      <c r="K46" s="2" t="s">
        <v>93</v>
      </c>
      <c r="L46" s="2"/>
      <c r="M46" s="2" t="s">
        <v>283</v>
      </c>
      <c r="N46" s="2" t="s">
        <v>284</v>
      </c>
      <c r="O46" s="2" t="s">
        <v>285</v>
      </c>
      <c r="P46" s="2" t="s">
        <v>347</v>
      </c>
    </row>
    <row r="47" spans="1:16" ht="28.5">
      <c r="A47" s="2" t="s">
        <v>222</v>
      </c>
      <c r="B47" s="2" t="s">
        <v>69</v>
      </c>
      <c r="C47" s="2" t="s">
        <v>104</v>
      </c>
      <c r="D47" s="2" t="s">
        <v>223</v>
      </c>
      <c r="E47" s="2" t="s">
        <v>92</v>
      </c>
      <c r="F47" s="2" t="s">
        <v>385</v>
      </c>
      <c r="G47" s="2" t="s">
        <v>386</v>
      </c>
      <c r="H47" s="2" t="s">
        <v>280</v>
      </c>
      <c r="I47" s="2" t="s">
        <v>281</v>
      </c>
      <c r="J47" s="2" t="s">
        <v>282</v>
      </c>
      <c r="K47" s="2" t="s">
        <v>93</v>
      </c>
      <c r="L47" s="2"/>
      <c r="M47" s="2" t="s">
        <v>283</v>
      </c>
      <c r="N47" s="2" t="s">
        <v>284</v>
      </c>
      <c r="O47" s="2" t="s">
        <v>285</v>
      </c>
      <c r="P47" s="2" t="s">
        <v>68</v>
      </c>
    </row>
    <row r="48" spans="1:16" ht="28.5">
      <c r="A48" s="2" t="s">
        <v>224</v>
      </c>
      <c r="B48" s="2" t="s">
        <v>69</v>
      </c>
      <c r="C48" s="2" t="s">
        <v>104</v>
      </c>
      <c r="D48" s="2" t="s">
        <v>225</v>
      </c>
      <c r="E48" s="2" t="s">
        <v>92</v>
      </c>
      <c r="F48" s="2" t="s">
        <v>387</v>
      </c>
      <c r="G48" s="2" t="s">
        <v>388</v>
      </c>
      <c r="H48" s="2" t="s">
        <v>280</v>
      </c>
      <c r="I48" s="2" t="s">
        <v>281</v>
      </c>
      <c r="J48" s="2" t="s">
        <v>282</v>
      </c>
      <c r="K48" s="2" t="s">
        <v>93</v>
      </c>
      <c r="L48" s="2"/>
      <c r="M48" s="2" t="s">
        <v>283</v>
      </c>
      <c r="N48" s="2" t="s">
        <v>284</v>
      </c>
      <c r="O48" s="2" t="s">
        <v>303</v>
      </c>
      <c r="P48" s="2" t="s">
        <v>68</v>
      </c>
    </row>
    <row r="49" spans="1:16" ht="28.5">
      <c r="A49" s="2" t="s">
        <v>226</v>
      </c>
      <c r="B49" s="2" t="s">
        <v>69</v>
      </c>
      <c r="C49" s="2" t="s">
        <v>104</v>
      </c>
      <c r="D49" s="2" t="s">
        <v>227</v>
      </c>
      <c r="E49" s="2" t="s">
        <v>92</v>
      </c>
      <c r="F49" s="2" t="s">
        <v>389</v>
      </c>
      <c r="G49" s="2" t="s">
        <v>390</v>
      </c>
      <c r="H49" s="2" t="s">
        <v>280</v>
      </c>
      <c r="I49" s="2" t="s">
        <v>281</v>
      </c>
      <c r="J49" s="2" t="s">
        <v>282</v>
      </c>
      <c r="K49" s="2" t="s">
        <v>93</v>
      </c>
      <c r="L49" s="2"/>
      <c r="M49" s="2" t="s">
        <v>283</v>
      </c>
      <c r="N49" s="2" t="s">
        <v>284</v>
      </c>
      <c r="O49" s="2" t="s">
        <v>285</v>
      </c>
      <c r="P49" s="2" t="s">
        <v>68</v>
      </c>
    </row>
    <row r="50" spans="1:16">
      <c r="A50" s="2" t="s">
        <v>228</v>
      </c>
      <c r="B50" s="2" t="s">
        <v>69</v>
      </c>
      <c r="C50" s="2" t="s">
        <v>104</v>
      </c>
      <c r="D50" s="2" t="s">
        <v>229</v>
      </c>
      <c r="E50" s="2" t="s">
        <v>92</v>
      </c>
      <c r="F50" s="2" t="s">
        <v>391</v>
      </c>
      <c r="G50" s="2" t="s">
        <v>392</v>
      </c>
      <c r="H50" s="2" t="s">
        <v>280</v>
      </c>
      <c r="I50" s="2" t="s">
        <v>281</v>
      </c>
      <c r="J50" s="2" t="s">
        <v>282</v>
      </c>
      <c r="K50" s="2" t="s">
        <v>93</v>
      </c>
      <c r="L50" s="2"/>
      <c r="M50" s="2" t="s">
        <v>283</v>
      </c>
      <c r="N50" s="2" t="s">
        <v>284</v>
      </c>
      <c r="O50" s="2" t="s">
        <v>285</v>
      </c>
      <c r="P50" s="2" t="s">
        <v>68</v>
      </c>
    </row>
    <row r="51" spans="1:16" ht="42.75">
      <c r="A51" s="2" t="s">
        <v>230</v>
      </c>
      <c r="B51" s="2" t="s">
        <v>72</v>
      </c>
      <c r="C51" s="2" t="s">
        <v>104</v>
      </c>
      <c r="D51" s="2" t="s">
        <v>231</v>
      </c>
      <c r="E51" s="2" t="s">
        <v>92</v>
      </c>
      <c r="F51" s="2" t="s">
        <v>393</v>
      </c>
      <c r="G51" s="2" t="s">
        <v>394</v>
      </c>
      <c r="H51" s="2" t="s">
        <v>280</v>
      </c>
      <c r="I51" s="2" t="s">
        <v>281</v>
      </c>
      <c r="J51" s="2" t="s">
        <v>282</v>
      </c>
      <c r="K51" s="2" t="s">
        <v>93</v>
      </c>
      <c r="L51" s="2"/>
      <c r="M51" s="2" t="s">
        <v>283</v>
      </c>
      <c r="N51" s="2" t="s">
        <v>284</v>
      </c>
      <c r="O51" s="2" t="s">
        <v>285</v>
      </c>
      <c r="P51" s="2" t="s">
        <v>71</v>
      </c>
    </row>
    <row r="52" spans="1:16" ht="42.75">
      <c r="A52" s="2" t="s">
        <v>232</v>
      </c>
      <c r="B52" s="2" t="s">
        <v>72</v>
      </c>
      <c r="C52" s="2" t="s">
        <v>109</v>
      </c>
      <c r="D52" s="2" t="s">
        <v>233</v>
      </c>
      <c r="E52" s="2" t="s">
        <v>111</v>
      </c>
      <c r="F52" s="2" t="s">
        <v>395</v>
      </c>
      <c r="G52" s="2" t="s">
        <v>396</v>
      </c>
      <c r="H52" s="2" t="s">
        <v>280</v>
      </c>
      <c r="I52" s="2" t="s">
        <v>281</v>
      </c>
      <c r="J52" s="2" t="s">
        <v>282</v>
      </c>
      <c r="K52" s="2" t="s">
        <v>93</v>
      </c>
      <c r="L52" s="2"/>
      <c r="M52" s="2" t="s">
        <v>283</v>
      </c>
      <c r="N52" s="2" t="s">
        <v>284</v>
      </c>
      <c r="O52" s="2" t="s">
        <v>285</v>
      </c>
      <c r="P52" s="2" t="s">
        <v>304</v>
      </c>
    </row>
    <row r="53" spans="1:16" ht="57">
      <c r="A53" s="2" t="s">
        <v>235</v>
      </c>
      <c r="B53" s="2" t="s">
        <v>72</v>
      </c>
      <c r="C53" s="2" t="s">
        <v>98</v>
      </c>
      <c r="D53" s="2" t="s">
        <v>236</v>
      </c>
      <c r="E53" s="2" t="s">
        <v>100</v>
      </c>
      <c r="F53" s="2" t="s">
        <v>397</v>
      </c>
      <c r="G53" s="2" t="s">
        <v>398</v>
      </c>
      <c r="H53" s="2" t="s">
        <v>280</v>
      </c>
      <c r="I53" s="2" t="s">
        <v>281</v>
      </c>
      <c r="J53" s="2" t="s">
        <v>282</v>
      </c>
      <c r="K53" s="2" t="s">
        <v>93</v>
      </c>
      <c r="L53" s="2"/>
      <c r="M53" s="2" t="s">
        <v>283</v>
      </c>
      <c r="N53" s="2" t="s">
        <v>288</v>
      </c>
      <c r="O53" s="2" t="s">
        <v>303</v>
      </c>
      <c r="P53" s="2" t="s">
        <v>399</v>
      </c>
    </row>
    <row r="54" spans="1:16" ht="28.5">
      <c r="A54" s="2" t="s">
        <v>238</v>
      </c>
      <c r="B54" s="2" t="s">
        <v>72</v>
      </c>
      <c r="C54" s="2" t="s">
        <v>104</v>
      </c>
      <c r="D54" s="2" t="s">
        <v>239</v>
      </c>
      <c r="E54" s="2" t="s">
        <v>92</v>
      </c>
      <c r="F54" s="2" t="s">
        <v>400</v>
      </c>
      <c r="G54" s="2" t="s">
        <v>401</v>
      </c>
      <c r="H54" s="2" t="s">
        <v>280</v>
      </c>
      <c r="I54" s="2" t="s">
        <v>281</v>
      </c>
      <c r="J54" s="2" t="s">
        <v>282</v>
      </c>
      <c r="K54" s="2" t="s">
        <v>93</v>
      </c>
      <c r="L54" s="2"/>
      <c r="M54" s="2" t="s">
        <v>283</v>
      </c>
      <c r="N54" s="2" t="s">
        <v>284</v>
      </c>
      <c r="O54" s="2" t="s">
        <v>285</v>
      </c>
      <c r="P54" s="2" t="s">
        <v>71</v>
      </c>
    </row>
    <row r="55" spans="1:16" ht="42.75">
      <c r="A55" s="2" t="s">
        <v>240</v>
      </c>
      <c r="B55" s="2" t="s">
        <v>72</v>
      </c>
      <c r="C55" s="2" t="s">
        <v>104</v>
      </c>
      <c r="D55" s="2" t="s">
        <v>241</v>
      </c>
      <c r="E55" s="2" t="s">
        <v>92</v>
      </c>
      <c r="F55" s="2" t="s">
        <v>402</v>
      </c>
      <c r="G55" s="2" t="s">
        <v>403</v>
      </c>
      <c r="H55" s="2" t="s">
        <v>280</v>
      </c>
      <c r="I55" s="2" t="s">
        <v>281</v>
      </c>
      <c r="J55" s="2" t="s">
        <v>282</v>
      </c>
      <c r="K55" s="2" t="s">
        <v>93</v>
      </c>
      <c r="L55" s="2"/>
      <c r="M55" s="2" t="s">
        <v>283</v>
      </c>
      <c r="N55" s="2" t="s">
        <v>284</v>
      </c>
      <c r="O55" s="2" t="s">
        <v>303</v>
      </c>
      <c r="P55" s="2" t="s">
        <v>71</v>
      </c>
    </row>
    <row r="56" spans="1:16" ht="28.5">
      <c r="A56" s="2" t="s">
        <v>242</v>
      </c>
      <c r="B56" s="2" t="s">
        <v>72</v>
      </c>
      <c r="C56" s="2" t="s">
        <v>104</v>
      </c>
      <c r="D56" s="2" t="s">
        <v>243</v>
      </c>
      <c r="E56" s="2" t="s">
        <v>92</v>
      </c>
      <c r="F56" s="2" t="s">
        <v>404</v>
      </c>
      <c r="G56" s="2" t="s">
        <v>405</v>
      </c>
      <c r="H56" s="2" t="s">
        <v>280</v>
      </c>
      <c r="I56" s="2" t="s">
        <v>281</v>
      </c>
      <c r="J56" s="2" t="s">
        <v>282</v>
      </c>
      <c r="K56" s="2" t="s">
        <v>93</v>
      </c>
      <c r="L56" s="2"/>
      <c r="M56" s="2" t="s">
        <v>283</v>
      </c>
      <c r="N56" s="2" t="s">
        <v>284</v>
      </c>
      <c r="O56" s="2" t="s">
        <v>303</v>
      </c>
      <c r="P56" s="2" t="s">
        <v>71</v>
      </c>
    </row>
    <row r="57" spans="1:16" ht="28.5">
      <c r="A57" s="2" t="s">
        <v>244</v>
      </c>
      <c r="B57" s="2" t="s">
        <v>72</v>
      </c>
      <c r="C57" s="2" t="s">
        <v>89</v>
      </c>
      <c r="D57" s="2" t="s">
        <v>245</v>
      </c>
      <c r="E57" s="2" t="s">
        <v>92</v>
      </c>
      <c r="F57" s="2" t="s">
        <v>406</v>
      </c>
      <c r="G57" s="2" t="s">
        <v>407</v>
      </c>
      <c r="H57" s="2" t="s">
        <v>280</v>
      </c>
      <c r="I57" s="2" t="s">
        <v>281</v>
      </c>
      <c r="J57" s="2" t="s">
        <v>282</v>
      </c>
      <c r="K57" s="2" t="s">
        <v>93</v>
      </c>
      <c r="L57" s="2"/>
      <c r="M57" s="2" t="s">
        <v>283</v>
      </c>
      <c r="N57" s="2" t="s">
        <v>284</v>
      </c>
      <c r="O57" s="2" t="s">
        <v>285</v>
      </c>
      <c r="P57" s="2" t="s">
        <v>71</v>
      </c>
    </row>
    <row r="58" spans="1:16" ht="28.5">
      <c r="A58" s="2" t="s">
        <v>247</v>
      </c>
      <c r="B58" s="2" t="s">
        <v>36</v>
      </c>
      <c r="C58" s="2" t="s">
        <v>248</v>
      </c>
      <c r="D58" s="2" t="s">
        <v>249</v>
      </c>
      <c r="E58" s="2" t="s">
        <v>408</v>
      </c>
      <c r="F58" s="2" t="s">
        <v>409</v>
      </c>
      <c r="G58" s="2" t="s">
        <v>410</v>
      </c>
      <c r="H58" s="2" t="s">
        <v>280</v>
      </c>
      <c r="I58" s="2" t="s">
        <v>411</v>
      </c>
      <c r="J58" s="2" t="s">
        <v>412</v>
      </c>
      <c r="K58" s="2" t="s">
        <v>93</v>
      </c>
      <c r="L58" s="2"/>
      <c r="M58" s="2" t="s">
        <v>283</v>
      </c>
      <c r="N58" s="2" t="s">
        <v>413</v>
      </c>
      <c r="O58" s="2" t="s">
        <v>303</v>
      </c>
      <c r="P58" s="2" t="s">
        <v>414</v>
      </c>
    </row>
    <row r="59" spans="1:16">
      <c r="A59" s="2" t="s">
        <v>253</v>
      </c>
      <c r="B59" s="2" t="s">
        <v>44</v>
      </c>
      <c r="C59" s="2" t="s">
        <v>248</v>
      </c>
      <c r="D59" s="2" t="s">
        <v>254</v>
      </c>
      <c r="E59" s="2" t="s">
        <v>408</v>
      </c>
      <c r="F59" s="2" t="s">
        <v>415</v>
      </c>
      <c r="G59" s="2" t="s">
        <v>410</v>
      </c>
      <c r="H59" s="2" t="s">
        <v>280</v>
      </c>
      <c r="I59" s="2" t="s">
        <v>411</v>
      </c>
      <c r="J59" s="2" t="s">
        <v>412</v>
      </c>
      <c r="K59" s="2" t="s">
        <v>93</v>
      </c>
      <c r="L59" s="2"/>
      <c r="M59" s="2" t="s">
        <v>283</v>
      </c>
      <c r="N59" s="2" t="s">
        <v>413</v>
      </c>
      <c r="O59" s="2" t="s">
        <v>303</v>
      </c>
      <c r="P59" s="2" t="s">
        <v>414</v>
      </c>
    </row>
    <row r="60" spans="1:16" ht="28.5">
      <c r="A60" s="2" t="s">
        <v>255</v>
      </c>
      <c r="B60" s="2" t="s">
        <v>49</v>
      </c>
      <c r="C60" s="2" t="s">
        <v>248</v>
      </c>
      <c r="D60" s="2" t="s">
        <v>256</v>
      </c>
      <c r="E60" s="2" t="s">
        <v>408</v>
      </c>
      <c r="F60" s="2" t="s">
        <v>416</v>
      </c>
      <c r="G60" s="2" t="s">
        <v>410</v>
      </c>
      <c r="H60" s="2" t="s">
        <v>280</v>
      </c>
      <c r="I60" s="2" t="s">
        <v>411</v>
      </c>
      <c r="J60" s="2" t="s">
        <v>412</v>
      </c>
      <c r="K60" s="2" t="s">
        <v>93</v>
      </c>
      <c r="L60" s="2"/>
      <c r="M60" s="2" t="s">
        <v>283</v>
      </c>
      <c r="N60" s="2" t="s">
        <v>413</v>
      </c>
      <c r="O60" s="2" t="s">
        <v>303</v>
      </c>
      <c r="P60" s="2" t="s">
        <v>414</v>
      </c>
    </row>
    <row r="61" spans="1:16" ht="28.5">
      <c r="A61" s="2" t="s">
        <v>257</v>
      </c>
      <c r="B61" s="2" t="s">
        <v>54</v>
      </c>
      <c r="C61" s="2" t="s">
        <v>248</v>
      </c>
      <c r="D61" s="2" t="s">
        <v>258</v>
      </c>
      <c r="E61" s="2" t="s">
        <v>408</v>
      </c>
      <c r="F61" s="2" t="s">
        <v>417</v>
      </c>
      <c r="G61" s="2" t="s">
        <v>410</v>
      </c>
      <c r="H61" s="2" t="s">
        <v>280</v>
      </c>
      <c r="I61" s="2" t="s">
        <v>411</v>
      </c>
      <c r="J61" s="2" t="s">
        <v>412</v>
      </c>
      <c r="K61" s="2" t="s">
        <v>93</v>
      </c>
      <c r="L61" s="2"/>
      <c r="M61" s="2" t="s">
        <v>283</v>
      </c>
      <c r="N61" s="2" t="s">
        <v>413</v>
      </c>
      <c r="O61" s="2" t="s">
        <v>418</v>
      </c>
      <c r="P61" s="2" t="s">
        <v>414</v>
      </c>
    </row>
    <row r="62" spans="1:16" ht="28.5">
      <c r="A62" s="2" t="s">
        <v>259</v>
      </c>
      <c r="B62" s="2" t="s">
        <v>59</v>
      </c>
      <c r="C62" s="2" t="s">
        <v>248</v>
      </c>
      <c r="D62" s="2" t="s">
        <v>260</v>
      </c>
      <c r="E62" s="2" t="s">
        <v>408</v>
      </c>
      <c r="F62" s="2" t="s">
        <v>419</v>
      </c>
      <c r="G62" s="2" t="s">
        <v>410</v>
      </c>
      <c r="H62" s="2" t="s">
        <v>280</v>
      </c>
      <c r="I62" s="2" t="s">
        <v>411</v>
      </c>
      <c r="J62" s="2" t="s">
        <v>412</v>
      </c>
      <c r="K62" s="2" t="s">
        <v>93</v>
      </c>
      <c r="L62" s="2"/>
      <c r="M62" s="2" t="s">
        <v>283</v>
      </c>
      <c r="N62" s="2" t="s">
        <v>413</v>
      </c>
      <c r="O62" s="2" t="s">
        <v>303</v>
      </c>
      <c r="P62" s="2" t="s">
        <v>414</v>
      </c>
    </row>
    <row r="63" spans="1:16">
      <c r="A63" s="2" t="s">
        <v>261</v>
      </c>
      <c r="B63" s="2" t="s">
        <v>65</v>
      </c>
      <c r="C63" s="2" t="s">
        <v>248</v>
      </c>
      <c r="D63" s="2" t="s">
        <v>262</v>
      </c>
      <c r="E63" s="2" t="s">
        <v>408</v>
      </c>
      <c r="F63" s="2" t="s">
        <v>420</v>
      </c>
      <c r="G63" s="2" t="s">
        <v>410</v>
      </c>
      <c r="H63" s="2" t="s">
        <v>280</v>
      </c>
      <c r="I63" s="2" t="s">
        <v>411</v>
      </c>
      <c r="J63" s="2" t="s">
        <v>412</v>
      </c>
      <c r="K63" s="2" t="s">
        <v>93</v>
      </c>
      <c r="L63" s="2"/>
      <c r="M63" s="2" t="s">
        <v>283</v>
      </c>
      <c r="N63" s="2" t="s">
        <v>413</v>
      </c>
      <c r="O63" s="2" t="s">
        <v>303</v>
      </c>
      <c r="P63" s="2" t="s">
        <v>414</v>
      </c>
    </row>
    <row r="64" spans="1:16" ht="28.5">
      <c r="A64" s="2" t="s">
        <v>263</v>
      </c>
      <c r="B64" s="2" t="s">
        <v>69</v>
      </c>
      <c r="C64" s="2" t="s">
        <v>248</v>
      </c>
      <c r="D64" s="2" t="s">
        <v>264</v>
      </c>
      <c r="E64" s="2" t="s">
        <v>408</v>
      </c>
      <c r="F64" s="2" t="s">
        <v>421</v>
      </c>
      <c r="G64" s="2" t="s">
        <v>410</v>
      </c>
      <c r="H64" s="2" t="s">
        <v>280</v>
      </c>
      <c r="I64" s="2" t="s">
        <v>411</v>
      </c>
      <c r="J64" s="2" t="s">
        <v>412</v>
      </c>
      <c r="K64" s="2" t="s">
        <v>93</v>
      </c>
      <c r="L64" s="2"/>
      <c r="M64" s="2" t="s">
        <v>283</v>
      </c>
      <c r="N64" s="2" t="s">
        <v>413</v>
      </c>
      <c r="O64" s="2" t="s">
        <v>418</v>
      </c>
      <c r="P64" s="2" t="s">
        <v>414</v>
      </c>
    </row>
    <row r="65" spans="1:16" ht="28.5">
      <c r="A65" s="2" t="s">
        <v>265</v>
      </c>
      <c r="B65" s="2" t="s">
        <v>72</v>
      </c>
      <c r="C65" s="2" t="s">
        <v>248</v>
      </c>
      <c r="D65" s="2" t="s">
        <v>266</v>
      </c>
      <c r="E65" s="2" t="s">
        <v>408</v>
      </c>
      <c r="F65" s="2" t="s">
        <v>422</v>
      </c>
      <c r="G65" s="2" t="s">
        <v>410</v>
      </c>
      <c r="H65" s="2" t="s">
        <v>280</v>
      </c>
      <c r="I65" s="2" t="s">
        <v>411</v>
      </c>
      <c r="J65" s="2" t="s">
        <v>412</v>
      </c>
      <c r="K65" s="2" t="s">
        <v>93</v>
      </c>
      <c r="L65" s="2"/>
      <c r="M65" s="2" t="s">
        <v>283</v>
      </c>
      <c r="N65" s="2" t="s">
        <v>413</v>
      </c>
      <c r="O65" s="2" t="s">
        <v>303</v>
      </c>
      <c r="P65" s="2" t="s">
        <v>414</v>
      </c>
    </row>
    <row r="66" spans="1:16">
      <c r="A66" s="2"/>
      <c r="B66" s="2"/>
      <c r="C66" s="2"/>
      <c r="D66" s="2"/>
      <c r="E66" s="2"/>
      <c r="F66" s="2"/>
      <c r="G66" s="2"/>
      <c r="H66" s="2"/>
      <c r="I66" s="2"/>
      <c r="J66" s="2"/>
      <c r="K66" s="2"/>
      <c r="L66" s="2"/>
      <c r="M66" s="2"/>
      <c r="N66" s="2"/>
      <c r="O66" s="2"/>
      <c r="P66" s="2"/>
    </row>
  </sheetData>
  <dataValidations count="1">
    <dataValidation type="list" sqref="M2:M65" xr:uid="{00000000-0002-0000-0300-000000000000}">
      <formula1>"AFVENTER,Godkendt,Rettelse kræves"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9"/>
  <sheetViews>
    <sheetView workbookViewId="0">
      <pane ySplit="1" topLeftCell="A2" activePane="bottomLeft" state="frozen"/>
      <selection pane="bottomLeft" sqref="A1:XFD1048576"/>
    </sheetView>
  </sheetViews>
  <sheetFormatPr defaultRowHeight="14.25"/>
  <cols>
    <col min="1" max="1" width="12" customWidth="1"/>
    <col min="2" max="2" width="17" customWidth="1"/>
    <col min="3" max="3" width="51" customWidth="1"/>
    <col min="4" max="4" width="69" customWidth="1"/>
    <col min="5" max="5" width="87" customWidth="1"/>
    <col min="6" max="6" width="17" customWidth="1"/>
    <col min="7" max="7" width="25" customWidth="1"/>
    <col min="8" max="8" width="32" customWidth="1"/>
    <col min="9" max="9" width="27" customWidth="1"/>
  </cols>
  <sheetData>
    <row r="1" spans="1:9" ht="30">
      <c r="A1" s="5" t="s">
        <v>75</v>
      </c>
      <c r="B1" s="5" t="s">
        <v>423</v>
      </c>
      <c r="C1" s="5" t="s">
        <v>424</v>
      </c>
      <c r="D1" s="5" t="s">
        <v>425</v>
      </c>
      <c r="E1" s="5" t="s">
        <v>426</v>
      </c>
      <c r="F1" s="5" t="s">
        <v>427</v>
      </c>
      <c r="G1" s="5" t="s">
        <v>428</v>
      </c>
      <c r="H1" s="5" t="s">
        <v>429</v>
      </c>
      <c r="I1" s="7" t="s">
        <v>430</v>
      </c>
    </row>
    <row r="2" spans="1:9" ht="28.5">
      <c r="A2" s="2" t="s">
        <v>88</v>
      </c>
      <c r="B2" s="2" t="s">
        <v>431</v>
      </c>
      <c r="C2" s="2" t="s">
        <v>35</v>
      </c>
      <c r="D2" s="2" t="s">
        <v>432</v>
      </c>
      <c r="E2" s="2" t="s">
        <v>433</v>
      </c>
      <c r="F2" s="2"/>
      <c r="G2" s="2"/>
      <c r="H2" s="2" t="s">
        <v>434</v>
      </c>
      <c r="I2" s="2" t="s">
        <v>435</v>
      </c>
    </row>
    <row r="3" spans="1:9" ht="28.5">
      <c r="A3" s="2" t="s">
        <v>97</v>
      </c>
      <c r="B3" s="2" t="s">
        <v>436</v>
      </c>
      <c r="C3" s="2" t="s">
        <v>35</v>
      </c>
      <c r="D3" s="2" t="s">
        <v>437</v>
      </c>
      <c r="E3" s="2" t="s">
        <v>438</v>
      </c>
      <c r="F3" s="2"/>
      <c r="G3" s="2"/>
      <c r="H3" s="2" t="s">
        <v>434</v>
      </c>
      <c r="I3" s="2" t="s">
        <v>435</v>
      </c>
    </row>
    <row r="4" spans="1:9" ht="28.5">
      <c r="A4" s="2" t="s">
        <v>103</v>
      </c>
      <c r="B4" s="2" t="s">
        <v>439</v>
      </c>
      <c r="C4" s="2" t="s">
        <v>35</v>
      </c>
      <c r="D4" s="2" t="s">
        <v>440</v>
      </c>
      <c r="E4" s="2" t="s">
        <v>441</v>
      </c>
      <c r="F4" s="2"/>
      <c r="G4" s="2"/>
      <c r="H4" s="2" t="s">
        <v>434</v>
      </c>
      <c r="I4" s="2" t="s">
        <v>435</v>
      </c>
    </row>
    <row r="5" spans="1:9" ht="28.5">
      <c r="A5" s="2" t="s">
        <v>108</v>
      </c>
      <c r="B5" s="2" t="s">
        <v>442</v>
      </c>
      <c r="C5" s="2" t="s">
        <v>35</v>
      </c>
      <c r="D5" s="2" t="s">
        <v>443</v>
      </c>
      <c r="E5" s="2" t="s">
        <v>444</v>
      </c>
      <c r="F5" s="2"/>
      <c r="G5" s="2"/>
      <c r="H5" s="2" t="s">
        <v>434</v>
      </c>
      <c r="I5" s="2" t="s">
        <v>435</v>
      </c>
    </row>
    <row r="6" spans="1:9" ht="28.5">
      <c r="A6" s="2" t="s">
        <v>113</v>
      </c>
      <c r="B6" s="2" t="s">
        <v>445</v>
      </c>
      <c r="C6" s="2" t="s">
        <v>35</v>
      </c>
      <c r="D6" s="2" t="s">
        <v>446</v>
      </c>
      <c r="E6" s="2" t="s">
        <v>447</v>
      </c>
      <c r="F6" s="2"/>
      <c r="G6" s="2"/>
      <c r="H6" s="2" t="s">
        <v>434</v>
      </c>
      <c r="I6" s="2" t="s">
        <v>435</v>
      </c>
    </row>
    <row r="7" spans="1:9" ht="28.5">
      <c r="A7" s="2" t="s">
        <v>116</v>
      </c>
      <c r="B7" s="2" t="s">
        <v>448</v>
      </c>
      <c r="C7" s="2" t="s">
        <v>35</v>
      </c>
      <c r="D7" s="2" t="s">
        <v>449</v>
      </c>
      <c r="E7" s="2" t="s">
        <v>450</v>
      </c>
      <c r="F7" s="2"/>
      <c r="G7" s="2"/>
      <c r="H7" s="2" t="s">
        <v>434</v>
      </c>
      <c r="I7" s="2" t="s">
        <v>435</v>
      </c>
    </row>
    <row r="8" spans="1:9" ht="28.5">
      <c r="A8" s="2" t="s">
        <v>118</v>
      </c>
      <c r="B8" s="2" t="s">
        <v>451</v>
      </c>
      <c r="C8" s="2" t="s">
        <v>35</v>
      </c>
      <c r="D8" s="2" t="s">
        <v>452</v>
      </c>
      <c r="E8" s="2" t="s">
        <v>453</v>
      </c>
      <c r="F8" s="2"/>
      <c r="G8" s="2"/>
      <c r="H8" s="2" t="s">
        <v>434</v>
      </c>
      <c r="I8" s="2" t="s">
        <v>435</v>
      </c>
    </row>
    <row r="9" spans="1:9" ht="28.5">
      <c r="A9" s="2" t="s">
        <v>121</v>
      </c>
      <c r="B9" s="2" t="s">
        <v>454</v>
      </c>
      <c r="C9" s="2" t="s">
        <v>43</v>
      </c>
      <c r="D9" s="2" t="s">
        <v>455</v>
      </c>
      <c r="E9" s="2" t="s">
        <v>456</v>
      </c>
      <c r="F9" s="2"/>
      <c r="G9" s="2"/>
      <c r="H9" s="2" t="s">
        <v>434</v>
      </c>
      <c r="I9" s="2" t="s">
        <v>435</v>
      </c>
    </row>
    <row r="10" spans="1:9" ht="28.5">
      <c r="A10" s="2" t="s">
        <v>124</v>
      </c>
      <c r="B10" s="2" t="s">
        <v>457</v>
      </c>
      <c r="C10" s="2" t="s">
        <v>71</v>
      </c>
      <c r="D10" s="2" t="s">
        <v>458</v>
      </c>
      <c r="E10" s="2" t="s">
        <v>459</v>
      </c>
      <c r="F10" s="2"/>
      <c r="G10" s="2"/>
      <c r="H10" s="2" t="s">
        <v>434</v>
      </c>
      <c r="I10" s="2" t="s">
        <v>435</v>
      </c>
    </row>
    <row r="11" spans="1:9" ht="28.5">
      <c r="A11" s="2" t="s">
        <v>124</v>
      </c>
      <c r="B11" s="2" t="s">
        <v>460</v>
      </c>
      <c r="C11" s="2" t="s">
        <v>43</v>
      </c>
      <c r="D11" s="2" t="s">
        <v>461</v>
      </c>
      <c r="E11" s="2" t="s">
        <v>459</v>
      </c>
      <c r="F11" s="2"/>
      <c r="G11" s="2"/>
      <c r="H11" s="2" t="s">
        <v>434</v>
      </c>
      <c r="I11" s="2" t="s">
        <v>435</v>
      </c>
    </row>
    <row r="12" spans="1:9" ht="28.5">
      <c r="A12" s="2" t="s">
        <v>127</v>
      </c>
      <c r="B12" s="2" t="s">
        <v>462</v>
      </c>
      <c r="C12" s="2" t="s">
        <v>71</v>
      </c>
      <c r="D12" s="2" t="s">
        <v>458</v>
      </c>
      <c r="E12" s="2" t="s">
        <v>463</v>
      </c>
      <c r="F12" s="2"/>
      <c r="G12" s="2"/>
      <c r="H12" s="2" t="s">
        <v>434</v>
      </c>
      <c r="I12" s="2" t="s">
        <v>435</v>
      </c>
    </row>
    <row r="13" spans="1:9" ht="28.5">
      <c r="A13" s="2" t="s">
        <v>127</v>
      </c>
      <c r="B13" s="2" t="s">
        <v>464</v>
      </c>
      <c r="C13" s="2" t="s">
        <v>43</v>
      </c>
      <c r="D13" s="2" t="s">
        <v>465</v>
      </c>
      <c r="E13" s="2" t="s">
        <v>463</v>
      </c>
      <c r="F13" s="2"/>
      <c r="G13" s="2"/>
      <c r="H13" s="2" t="s">
        <v>434</v>
      </c>
      <c r="I13" s="2" t="s">
        <v>435</v>
      </c>
    </row>
    <row r="14" spans="1:9" ht="28.5">
      <c r="A14" s="2" t="s">
        <v>130</v>
      </c>
      <c r="B14" s="2" t="s">
        <v>466</v>
      </c>
      <c r="C14" s="2" t="s">
        <v>43</v>
      </c>
      <c r="D14" s="2" t="s">
        <v>467</v>
      </c>
      <c r="E14" s="2" t="s">
        <v>468</v>
      </c>
      <c r="F14" s="2"/>
      <c r="G14" s="2"/>
      <c r="H14" s="2" t="s">
        <v>434</v>
      </c>
      <c r="I14" s="2" t="s">
        <v>435</v>
      </c>
    </row>
    <row r="15" spans="1:9" ht="28.5">
      <c r="A15" s="2" t="s">
        <v>133</v>
      </c>
      <c r="B15" s="2" t="s">
        <v>469</v>
      </c>
      <c r="C15" s="2" t="s">
        <v>58</v>
      </c>
      <c r="D15" s="2" t="s">
        <v>470</v>
      </c>
      <c r="E15" s="2" t="s">
        <v>471</v>
      </c>
      <c r="F15" s="2"/>
      <c r="G15" s="2"/>
      <c r="H15" s="2" t="s">
        <v>434</v>
      </c>
      <c r="I15" s="2" t="s">
        <v>435</v>
      </c>
    </row>
    <row r="16" spans="1:9" ht="28.5">
      <c r="A16" s="2" t="s">
        <v>133</v>
      </c>
      <c r="B16" s="2" t="s">
        <v>472</v>
      </c>
      <c r="C16" s="2" t="s">
        <v>43</v>
      </c>
      <c r="D16" s="2" t="s">
        <v>473</v>
      </c>
      <c r="E16" s="2" t="s">
        <v>471</v>
      </c>
      <c r="F16" s="2"/>
      <c r="G16" s="2"/>
      <c r="H16" s="2" t="s">
        <v>434</v>
      </c>
      <c r="I16" s="2" t="s">
        <v>435</v>
      </c>
    </row>
    <row r="17" spans="1:9" ht="28.5">
      <c r="A17" s="2" t="s">
        <v>136</v>
      </c>
      <c r="B17" s="2" t="s">
        <v>474</v>
      </c>
      <c r="C17" s="2" t="s">
        <v>43</v>
      </c>
      <c r="D17" s="2" t="s">
        <v>475</v>
      </c>
      <c r="E17" s="2" t="s">
        <v>476</v>
      </c>
      <c r="F17" s="2"/>
      <c r="G17" s="2"/>
      <c r="H17" s="2" t="s">
        <v>434</v>
      </c>
      <c r="I17" s="2" t="s">
        <v>435</v>
      </c>
    </row>
    <row r="18" spans="1:9" ht="28.5">
      <c r="A18" s="2" t="s">
        <v>138</v>
      </c>
      <c r="B18" s="2" t="s">
        <v>477</v>
      </c>
      <c r="C18" s="2" t="s">
        <v>43</v>
      </c>
      <c r="D18" s="2" t="s">
        <v>478</v>
      </c>
      <c r="E18" s="2" t="s">
        <v>479</v>
      </c>
      <c r="F18" s="2"/>
      <c r="G18" s="2"/>
      <c r="H18" s="2" t="s">
        <v>434</v>
      </c>
      <c r="I18" s="2" t="s">
        <v>435</v>
      </c>
    </row>
    <row r="19" spans="1:9" ht="28.5">
      <c r="A19" s="2" t="s">
        <v>141</v>
      </c>
      <c r="B19" s="2" t="s">
        <v>480</v>
      </c>
      <c r="C19" s="2" t="s">
        <v>43</v>
      </c>
      <c r="D19" s="2" t="s">
        <v>481</v>
      </c>
      <c r="E19" s="2" t="s">
        <v>482</v>
      </c>
      <c r="F19" s="2"/>
      <c r="G19" s="2"/>
      <c r="H19" s="2" t="s">
        <v>434</v>
      </c>
      <c r="I19" s="2" t="s">
        <v>435</v>
      </c>
    </row>
    <row r="20" spans="1:9" ht="28.5">
      <c r="A20" s="2" t="s">
        <v>143</v>
      </c>
      <c r="B20" s="2" t="s">
        <v>483</v>
      </c>
      <c r="C20" s="2" t="s">
        <v>43</v>
      </c>
      <c r="D20" s="2" t="s">
        <v>484</v>
      </c>
      <c r="E20" s="2" t="s">
        <v>485</v>
      </c>
      <c r="F20" s="2"/>
      <c r="G20" s="2"/>
      <c r="H20" s="2" t="s">
        <v>434</v>
      </c>
      <c r="I20" s="2" t="s">
        <v>435</v>
      </c>
    </row>
    <row r="21" spans="1:9" ht="28.5">
      <c r="A21" s="2" t="s">
        <v>146</v>
      </c>
      <c r="B21" s="2" t="s">
        <v>486</v>
      </c>
      <c r="C21" s="2" t="s">
        <v>48</v>
      </c>
      <c r="D21" s="2" t="s">
        <v>487</v>
      </c>
      <c r="E21" s="2" t="s">
        <v>488</v>
      </c>
      <c r="F21" s="2"/>
      <c r="G21" s="2"/>
      <c r="H21" s="2" t="s">
        <v>434</v>
      </c>
      <c r="I21" s="2" t="s">
        <v>435</v>
      </c>
    </row>
    <row r="22" spans="1:9" ht="28.5">
      <c r="A22" s="2" t="s">
        <v>146</v>
      </c>
      <c r="B22" s="2" t="s">
        <v>489</v>
      </c>
      <c r="C22" s="2" t="s">
        <v>58</v>
      </c>
      <c r="D22" s="2" t="s">
        <v>490</v>
      </c>
      <c r="E22" s="2" t="s">
        <v>488</v>
      </c>
      <c r="F22" s="2"/>
      <c r="G22" s="2"/>
      <c r="H22" s="2" t="s">
        <v>434</v>
      </c>
      <c r="I22" s="2" t="s">
        <v>435</v>
      </c>
    </row>
    <row r="23" spans="1:9" ht="28.5">
      <c r="A23" s="2" t="s">
        <v>149</v>
      </c>
      <c r="B23" s="2" t="s">
        <v>491</v>
      </c>
      <c r="C23" s="2" t="s">
        <v>48</v>
      </c>
      <c r="D23" s="2" t="s">
        <v>492</v>
      </c>
      <c r="E23" s="2" t="s">
        <v>493</v>
      </c>
      <c r="F23" s="2"/>
      <c r="G23" s="2"/>
      <c r="H23" s="2" t="s">
        <v>434</v>
      </c>
      <c r="I23" s="2" t="s">
        <v>435</v>
      </c>
    </row>
    <row r="24" spans="1:9" ht="28.5">
      <c r="A24" s="2" t="s">
        <v>152</v>
      </c>
      <c r="B24" s="2" t="s">
        <v>494</v>
      </c>
      <c r="C24" s="2" t="s">
        <v>48</v>
      </c>
      <c r="D24" s="2" t="s">
        <v>495</v>
      </c>
      <c r="E24" s="2" t="s">
        <v>496</v>
      </c>
      <c r="F24" s="2"/>
      <c r="G24" s="2"/>
      <c r="H24" s="2" t="s">
        <v>434</v>
      </c>
      <c r="I24" s="2" t="s">
        <v>435</v>
      </c>
    </row>
    <row r="25" spans="1:9" ht="28.5">
      <c r="A25" s="2" t="s">
        <v>152</v>
      </c>
      <c r="B25" s="2" t="s">
        <v>497</v>
      </c>
      <c r="C25" s="2" t="s">
        <v>58</v>
      </c>
      <c r="D25" s="2" t="s">
        <v>498</v>
      </c>
      <c r="E25" s="2" t="s">
        <v>496</v>
      </c>
      <c r="F25" s="2"/>
      <c r="G25" s="2"/>
      <c r="H25" s="2" t="s">
        <v>434</v>
      </c>
      <c r="I25" s="2" t="s">
        <v>435</v>
      </c>
    </row>
    <row r="26" spans="1:9" ht="28.5">
      <c r="A26" s="2" t="s">
        <v>155</v>
      </c>
      <c r="B26" s="2" t="s">
        <v>499</v>
      </c>
      <c r="C26" s="2" t="s">
        <v>48</v>
      </c>
      <c r="D26" s="2" t="s">
        <v>500</v>
      </c>
      <c r="E26" s="2" t="s">
        <v>501</v>
      </c>
      <c r="F26" s="2"/>
      <c r="G26" s="2"/>
      <c r="H26" s="2" t="s">
        <v>434</v>
      </c>
      <c r="I26" s="2" t="s">
        <v>435</v>
      </c>
    </row>
    <row r="27" spans="1:9" ht="28.5">
      <c r="A27" s="2" t="s">
        <v>159</v>
      </c>
      <c r="B27" s="2" t="s">
        <v>502</v>
      </c>
      <c r="C27" s="2" t="s">
        <v>48</v>
      </c>
      <c r="D27" s="2" t="s">
        <v>503</v>
      </c>
      <c r="E27" s="2" t="s">
        <v>504</v>
      </c>
      <c r="F27" s="2"/>
      <c r="G27" s="2"/>
      <c r="H27" s="2" t="s">
        <v>434</v>
      </c>
      <c r="I27" s="2" t="s">
        <v>435</v>
      </c>
    </row>
    <row r="28" spans="1:9" ht="28.5">
      <c r="A28" s="2" t="s">
        <v>162</v>
      </c>
      <c r="B28" s="2" t="s">
        <v>505</v>
      </c>
      <c r="C28" s="2" t="s">
        <v>48</v>
      </c>
      <c r="D28" s="2" t="s">
        <v>506</v>
      </c>
      <c r="E28" s="2" t="s">
        <v>507</v>
      </c>
      <c r="F28" s="2"/>
      <c r="G28" s="2"/>
      <c r="H28" s="2" t="s">
        <v>434</v>
      </c>
      <c r="I28" s="2" t="s">
        <v>435</v>
      </c>
    </row>
    <row r="29" spans="1:9" ht="28.5">
      <c r="A29" s="2" t="s">
        <v>165</v>
      </c>
      <c r="B29" s="2" t="s">
        <v>508</v>
      </c>
      <c r="C29" s="2" t="s">
        <v>48</v>
      </c>
      <c r="D29" s="2" t="s">
        <v>509</v>
      </c>
      <c r="E29" s="2" t="s">
        <v>510</v>
      </c>
      <c r="F29" s="2"/>
      <c r="G29" s="2"/>
      <c r="H29" s="2" t="s">
        <v>434</v>
      </c>
      <c r="I29" s="2" t="s">
        <v>435</v>
      </c>
    </row>
    <row r="30" spans="1:9" ht="28.5">
      <c r="A30" s="2" t="s">
        <v>167</v>
      </c>
      <c r="B30" s="2" t="s">
        <v>511</v>
      </c>
      <c r="C30" s="2" t="s">
        <v>53</v>
      </c>
      <c r="D30" s="2" t="s">
        <v>512</v>
      </c>
      <c r="E30" s="2" t="s">
        <v>513</v>
      </c>
      <c r="F30" s="2"/>
      <c r="G30" s="2"/>
      <c r="H30" s="2" t="s">
        <v>434</v>
      </c>
      <c r="I30" s="2" t="s">
        <v>435</v>
      </c>
    </row>
    <row r="31" spans="1:9" ht="28.5">
      <c r="A31" s="2" t="s">
        <v>167</v>
      </c>
      <c r="B31" s="2" t="s">
        <v>514</v>
      </c>
      <c r="C31" s="2" t="s">
        <v>71</v>
      </c>
      <c r="D31" s="2" t="s">
        <v>515</v>
      </c>
      <c r="E31" s="2" t="s">
        <v>513</v>
      </c>
      <c r="F31" s="2"/>
      <c r="G31" s="2"/>
      <c r="H31" s="2" t="s">
        <v>434</v>
      </c>
      <c r="I31" s="2" t="s">
        <v>435</v>
      </c>
    </row>
    <row r="32" spans="1:9" ht="28.5">
      <c r="A32" s="2" t="s">
        <v>170</v>
      </c>
      <c r="B32" s="2" t="s">
        <v>516</v>
      </c>
      <c r="C32" s="2" t="s">
        <v>53</v>
      </c>
      <c r="D32" s="2" t="s">
        <v>517</v>
      </c>
      <c r="E32" s="2" t="s">
        <v>518</v>
      </c>
      <c r="F32" s="2"/>
      <c r="G32" s="2"/>
      <c r="H32" s="2" t="s">
        <v>434</v>
      </c>
      <c r="I32" s="2" t="s">
        <v>435</v>
      </c>
    </row>
    <row r="33" spans="1:9" ht="28.5">
      <c r="A33" s="2" t="s">
        <v>170</v>
      </c>
      <c r="B33" s="2" t="s">
        <v>519</v>
      </c>
      <c r="C33" s="2" t="s">
        <v>64</v>
      </c>
      <c r="D33" s="2" t="s">
        <v>520</v>
      </c>
      <c r="E33" s="2" t="s">
        <v>518</v>
      </c>
      <c r="F33" s="2"/>
      <c r="G33" s="2"/>
      <c r="H33" s="2" t="s">
        <v>434</v>
      </c>
      <c r="I33" s="2" t="s">
        <v>435</v>
      </c>
    </row>
    <row r="34" spans="1:9" ht="28.5">
      <c r="A34" s="2" t="s">
        <v>173</v>
      </c>
      <c r="B34" s="2" t="s">
        <v>521</v>
      </c>
      <c r="C34" s="2" t="s">
        <v>53</v>
      </c>
      <c r="D34" s="2" t="s">
        <v>522</v>
      </c>
      <c r="E34" s="2" t="s">
        <v>523</v>
      </c>
      <c r="F34" s="2"/>
      <c r="G34" s="2"/>
      <c r="H34" s="2" t="s">
        <v>434</v>
      </c>
      <c r="I34" s="2" t="s">
        <v>435</v>
      </c>
    </row>
    <row r="35" spans="1:9" ht="28.5">
      <c r="A35" s="2" t="s">
        <v>175</v>
      </c>
      <c r="B35" s="2" t="s">
        <v>524</v>
      </c>
      <c r="C35" s="2" t="s">
        <v>53</v>
      </c>
      <c r="D35" s="2" t="s">
        <v>525</v>
      </c>
      <c r="E35" s="2" t="s">
        <v>526</v>
      </c>
      <c r="F35" s="2"/>
      <c r="G35" s="2"/>
      <c r="H35" s="2" t="s">
        <v>434</v>
      </c>
      <c r="I35" s="2" t="s">
        <v>435</v>
      </c>
    </row>
    <row r="36" spans="1:9" ht="28.5">
      <c r="A36" s="2" t="s">
        <v>178</v>
      </c>
      <c r="B36" s="2" t="s">
        <v>527</v>
      </c>
      <c r="C36" s="2" t="s">
        <v>68</v>
      </c>
      <c r="D36" s="2" t="s">
        <v>528</v>
      </c>
      <c r="E36" s="2" t="s">
        <v>529</v>
      </c>
      <c r="F36" s="2"/>
      <c r="G36" s="2"/>
      <c r="H36" s="2" t="s">
        <v>434</v>
      </c>
      <c r="I36" s="2" t="s">
        <v>435</v>
      </c>
    </row>
    <row r="37" spans="1:9" ht="28.5">
      <c r="A37" s="2" t="s">
        <v>178</v>
      </c>
      <c r="B37" s="2" t="s">
        <v>530</v>
      </c>
      <c r="C37" s="2" t="s">
        <v>53</v>
      </c>
      <c r="D37" s="2" t="s">
        <v>531</v>
      </c>
      <c r="E37" s="2" t="s">
        <v>529</v>
      </c>
      <c r="F37" s="2"/>
      <c r="G37" s="2"/>
      <c r="H37" s="2" t="s">
        <v>434</v>
      </c>
      <c r="I37" s="2" t="s">
        <v>435</v>
      </c>
    </row>
    <row r="38" spans="1:9" ht="28.5">
      <c r="A38" s="2" t="s">
        <v>181</v>
      </c>
      <c r="B38" s="2" t="s">
        <v>532</v>
      </c>
      <c r="C38" s="2" t="s">
        <v>53</v>
      </c>
      <c r="D38" s="2" t="s">
        <v>533</v>
      </c>
      <c r="E38" s="2" t="s">
        <v>534</v>
      </c>
      <c r="F38" s="2"/>
      <c r="G38" s="2"/>
      <c r="H38" s="2" t="s">
        <v>434</v>
      </c>
      <c r="I38" s="2" t="s">
        <v>435</v>
      </c>
    </row>
    <row r="39" spans="1:9" ht="28.5">
      <c r="A39" s="2" t="s">
        <v>181</v>
      </c>
      <c r="B39" s="2" t="s">
        <v>535</v>
      </c>
      <c r="C39" s="2" t="s">
        <v>68</v>
      </c>
      <c r="D39" s="2" t="s">
        <v>536</v>
      </c>
      <c r="E39" s="2" t="s">
        <v>534</v>
      </c>
      <c r="F39" s="2"/>
      <c r="G39" s="2"/>
      <c r="H39" s="2" t="s">
        <v>434</v>
      </c>
      <c r="I39" s="2" t="s">
        <v>435</v>
      </c>
    </row>
    <row r="40" spans="1:9" ht="28.5">
      <c r="A40" s="2" t="s">
        <v>184</v>
      </c>
      <c r="B40" s="2" t="s">
        <v>537</v>
      </c>
      <c r="C40" s="2" t="s">
        <v>53</v>
      </c>
      <c r="D40" s="2" t="s">
        <v>538</v>
      </c>
      <c r="E40" s="2" t="s">
        <v>539</v>
      </c>
      <c r="F40" s="2"/>
      <c r="G40" s="2"/>
      <c r="H40" s="2" t="s">
        <v>434</v>
      </c>
      <c r="I40" s="2" t="s">
        <v>435</v>
      </c>
    </row>
    <row r="41" spans="1:9" ht="28.5">
      <c r="A41" s="2" t="s">
        <v>186</v>
      </c>
      <c r="B41" s="2" t="s">
        <v>540</v>
      </c>
      <c r="C41" s="2" t="s">
        <v>53</v>
      </c>
      <c r="D41" s="2" t="s">
        <v>541</v>
      </c>
      <c r="E41" s="2" t="s">
        <v>542</v>
      </c>
      <c r="F41" s="2"/>
      <c r="G41" s="2"/>
      <c r="H41" s="2" t="s">
        <v>434</v>
      </c>
      <c r="I41" s="2" t="s">
        <v>435</v>
      </c>
    </row>
    <row r="42" spans="1:9" ht="28.5">
      <c r="A42" s="2" t="s">
        <v>188</v>
      </c>
      <c r="B42" s="2" t="s">
        <v>543</v>
      </c>
      <c r="C42" s="2" t="s">
        <v>58</v>
      </c>
      <c r="D42" s="2" t="s">
        <v>544</v>
      </c>
      <c r="E42" s="2" t="s">
        <v>545</v>
      </c>
      <c r="F42" s="2"/>
      <c r="G42" s="2"/>
      <c r="H42" s="2" t="s">
        <v>434</v>
      </c>
      <c r="I42" s="2" t="s">
        <v>435</v>
      </c>
    </row>
    <row r="43" spans="1:9" ht="28.5">
      <c r="A43" s="2" t="s">
        <v>191</v>
      </c>
      <c r="B43" s="2" t="s">
        <v>546</v>
      </c>
      <c r="C43" s="2" t="s">
        <v>58</v>
      </c>
      <c r="D43" s="2" t="s">
        <v>547</v>
      </c>
      <c r="E43" s="2" t="s">
        <v>548</v>
      </c>
      <c r="F43" s="2"/>
      <c r="G43" s="2"/>
      <c r="H43" s="2" t="s">
        <v>434</v>
      </c>
      <c r="I43" s="2" t="s">
        <v>435</v>
      </c>
    </row>
    <row r="44" spans="1:9" ht="28.5">
      <c r="A44" s="2" t="s">
        <v>193</v>
      </c>
      <c r="B44" s="2" t="s">
        <v>549</v>
      </c>
      <c r="C44" s="2" t="s">
        <v>58</v>
      </c>
      <c r="D44" s="2" t="s">
        <v>550</v>
      </c>
      <c r="E44" s="2" t="s">
        <v>551</v>
      </c>
      <c r="F44" s="2"/>
      <c r="G44" s="2"/>
      <c r="H44" s="2" t="s">
        <v>434</v>
      </c>
      <c r="I44" s="2" t="s">
        <v>435</v>
      </c>
    </row>
    <row r="45" spans="1:9" ht="28.5">
      <c r="A45" s="2" t="s">
        <v>195</v>
      </c>
      <c r="B45" s="2" t="s">
        <v>552</v>
      </c>
      <c r="C45" s="2" t="s">
        <v>58</v>
      </c>
      <c r="D45" s="2" t="s">
        <v>498</v>
      </c>
      <c r="E45" s="2" t="s">
        <v>553</v>
      </c>
      <c r="F45" s="2"/>
      <c r="G45" s="2"/>
      <c r="H45" s="2" t="s">
        <v>434</v>
      </c>
      <c r="I45" s="2" t="s">
        <v>435</v>
      </c>
    </row>
    <row r="46" spans="1:9" ht="28.5">
      <c r="A46" s="2" t="s">
        <v>195</v>
      </c>
      <c r="B46" s="2" t="s">
        <v>554</v>
      </c>
      <c r="C46" s="2" t="s">
        <v>48</v>
      </c>
      <c r="D46" s="2" t="s">
        <v>555</v>
      </c>
      <c r="E46" s="2" t="s">
        <v>553</v>
      </c>
      <c r="F46" s="2"/>
      <c r="G46" s="2"/>
      <c r="H46" s="2" t="s">
        <v>434</v>
      </c>
      <c r="I46" s="2" t="s">
        <v>435</v>
      </c>
    </row>
    <row r="47" spans="1:9" ht="28.5">
      <c r="A47" s="2" t="s">
        <v>198</v>
      </c>
      <c r="B47" s="2" t="s">
        <v>556</v>
      </c>
      <c r="C47" s="2" t="s">
        <v>64</v>
      </c>
      <c r="D47" s="2" t="s">
        <v>520</v>
      </c>
      <c r="E47" s="2" t="s">
        <v>557</v>
      </c>
      <c r="F47" s="2"/>
      <c r="G47" s="2"/>
      <c r="H47" s="2" t="s">
        <v>434</v>
      </c>
      <c r="I47" s="2" t="s">
        <v>435</v>
      </c>
    </row>
    <row r="48" spans="1:9" ht="28.5">
      <c r="A48" s="2" t="s">
        <v>200</v>
      </c>
      <c r="B48" s="2" t="s">
        <v>558</v>
      </c>
      <c r="C48" s="2" t="s">
        <v>64</v>
      </c>
      <c r="D48" s="2" t="s">
        <v>559</v>
      </c>
      <c r="E48" s="2" t="s">
        <v>560</v>
      </c>
      <c r="F48" s="2"/>
      <c r="G48" s="2"/>
      <c r="H48" s="2" t="s">
        <v>434</v>
      </c>
      <c r="I48" s="2" t="s">
        <v>435</v>
      </c>
    </row>
    <row r="49" spans="1:9" ht="28.5">
      <c r="A49" s="2" t="s">
        <v>202</v>
      </c>
      <c r="B49" s="2" t="s">
        <v>561</v>
      </c>
      <c r="C49" s="2" t="s">
        <v>64</v>
      </c>
      <c r="D49" s="2" t="s">
        <v>562</v>
      </c>
      <c r="E49" s="2" t="s">
        <v>563</v>
      </c>
      <c r="F49" s="2"/>
      <c r="G49" s="2"/>
      <c r="H49" s="2" t="s">
        <v>434</v>
      </c>
      <c r="I49" s="2" t="s">
        <v>435</v>
      </c>
    </row>
    <row r="50" spans="1:9" ht="28.5">
      <c r="A50" s="2" t="s">
        <v>205</v>
      </c>
      <c r="B50" s="2" t="s">
        <v>564</v>
      </c>
      <c r="C50" s="2" t="s">
        <v>64</v>
      </c>
      <c r="D50" s="2" t="s">
        <v>565</v>
      </c>
      <c r="E50" s="2" t="s">
        <v>566</v>
      </c>
      <c r="F50" s="2"/>
      <c r="G50" s="2"/>
      <c r="H50" s="2" t="s">
        <v>434</v>
      </c>
      <c r="I50" s="2" t="s">
        <v>435</v>
      </c>
    </row>
    <row r="51" spans="1:9" ht="28.5">
      <c r="A51" s="2" t="s">
        <v>207</v>
      </c>
      <c r="B51" s="2" t="s">
        <v>567</v>
      </c>
      <c r="C51" s="2" t="s">
        <v>64</v>
      </c>
      <c r="D51" s="2" t="s">
        <v>568</v>
      </c>
      <c r="E51" s="2" t="s">
        <v>569</v>
      </c>
      <c r="F51" s="2"/>
      <c r="G51" s="2"/>
      <c r="H51" s="2" t="s">
        <v>434</v>
      </c>
      <c r="I51" s="2" t="s">
        <v>435</v>
      </c>
    </row>
    <row r="52" spans="1:9" ht="28.5">
      <c r="A52" s="2" t="s">
        <v>207</v>
      </c>
      <c r="B52" s="2" t="s">
        <v>570</v>
      </c>
      <c r="C52" s="2" t="s">
        <v>58</v>
      </c>
      <c r="D52" s="2" t="s">
        <v>571</v>
      </c>
      <c r="E52" s="2" t="s">
        <v>569</v>
      </c>
      <c r="F52" s="2"/>
      <c r="G52" s="2"/>
      <c r="H52" s="2" t="s">
        <v>434</v>
      </c>
      <c r="I52" s="2" t="s">
        <v>435</v>
      </c>
    </row>
    <row r="53" spans="1:9" ht="28.5">
      <c r="A53" s="2" t="s">
        <v>210</v>
      </c>
      <c r="B53" s="2" t="s">
        <v>572</v>
      </c>
      <c r="C53" s="2" t="s">
        <v>64</v>
      </c>
      <c r="D53" s="2" t="s">
        <v>573</v>
      </c>
      <c r="E53" s="2" t="s">
        <v>574</v>
      </c>
      <c r="F53" s="2"/>
      <c r="G53" s="2"/>
      <c r="H53" s="2" t="s">
        <v>434</v>
      </c>
      <c r="I53" s="2" t="s">
        <v>435</v>
      </c>
    </row>
    <row r="54" spans="1:9" ht="28.5">
      <c r="A54" s="2" t="s">
        <v>212</v>
      </c>
      <c r="B54" s="2" t="s">
        <v>575</v>
      </c>
      <c r="C54" s="2" t="s">
        <v>64</v>
      </c>
      <c r="D54" s="2" t="s">
        <v>576</v>
      </c>
      <c r="E54" s="2" t="s">
        <v>577</v>
      </c>
      <c r="F54" s="2"/>
      <c r="G54" s="2"/>
      <c r="H54" s="2" t="s">
        <v>434</v>
      </c>
      <c r="I54" s="2" t="s">
        <v>435</v>
      </c>
    </row>
    <row r="55" spans="1:9" ht="28.5">
      <c r="A55" s="2" t="s">
        <v>215</v>
      </c>
      <c r="B55" s="2" t="s">
        <v>578</v>
      </c>
      <c r="C55" s="2" t="s">
        <v>68</v>
      </c>
      <c r="D55" s="2" t="s">
        <v>579</v>
      </c>
      <c r="E55" s="2" t="s">
        <v>580</v>
      </c>
      <c r="F55" s="2"/>
      <c r="G55" s="2"/>
      <c r="H55" s="2" t="s">
        <v>434</v>
      </c>
      <c r="I55" s="2" t="s">
        <v>435</v>
      </c>
    </row>
    <row r="56" spans="1:9" ht="28.5">
      <c r="A56" s="2" t="s">
        <v>217</v>
      </c>
      <c r="B56" s="2" t="s">
        <v>581</v>
      </c>
      <c r="C56" s="2" t="s">
        <v>68</v>
      </c>
      <c r="D56" s="2" t="s">
        <v>582</v>
      </c>
      <c r="E56" s="2" t="s">
        <v>583</v>
      </c>
      <c r="F56" s="2"/>
      <c r="G56" s="2"/>
      <c r="H56" s="2" t="s">
        <v>434</v>
      </c>
      <c r="I56" s="2" t="s">
        <v>435</v>
      </c>
    </row>
    <row r="57" spans="1:9" ht="28.5">
      <c r="A57" s="2" t="s">
        <v>219</v>
      </c>
      <c r="B57" s="2" t="s">
        <v>584</v>
      </c>
      <c r="C57" s="2" t="s">
        <v>68</v>
      </c>
      <c r="D57" s="2" t="s">
        <v>585</v>
      </c>
      <c r="E57" s="2" t="s">
        <v>586</v>
      </c>
      <c r="F57" s="2"/>
      <c r="G57" s="2"/>
      <c r="H57" s="2" t="s">
        <v>434</v>
      </c>
      <c r="I57" s="2" t="s">
        <v>435</v>
      </c>
    </row>
    <row r="58" spans="1:9" ht="28.5">
      <c r="A58" s="2" t="s">
        <v>219</v>
      </c>
      <c r="B58" s="2" t="s">
        <v>587</v>
      </c>
      <c r="C58" s="2" t="s">
        <v>53</v>
      </c>
      <c r="D58" s="2" t="s">
        <v>588</v>
      </c>
      <c r="E58" s="2" t="s">
        <v>586</v>
      </c>
      <c r="F58" s="2"/>
      <c r="G58" s="2"/>
      <c r="H58" s="2" t="s">
        <v>434</v>
      </c>
      <c r="I58" s="2" t="s">
        <v>435</v>
      </c>
    </row>
    <row r="59" spans="1:9" ht="28.5">
      <c r="A59" s="2" t="s">
        <v>222</v>
      </c>
      <c r="B59" s="2" t="s">
        <v>589</v>
      </c>
      <c r="C59" s="2" t="s">
        <v>68</v>
      </c>
      <c r="D59" s="2" t="s">
        <v>590</v>
      </c>
      <c r="E59" s="2" t="s">
        <v>591</v>
      </c>
      <c r="F59" s="2"/>
      <c r="G59" s="2"/>
      <c r="H59" s="2" t="s">
        <v>434</v>
      </c>
      <c r="I59" s="2" t="s">
        <v>435</v>
      </c>
    </row>
    <row r="60" spans="1:9" ht="28.5">
      <c r="A60" s="2" t="s">
        <v>224</v>
      </c>
      <c r="B60" s="2" t="s">
        <v>592</v>
      </c>
      <c r="C60" s="2" t="s">
        <v>68</v>
      </c>
      <c r="D60" s="2" t="s">
        <v>593</v>
      </c>
      <c r="E60" s="2" t="s">
        <v>594</v>
      </c>
      <c r="F60" s="2"/>
      <c r="G60" s="2"/>
      <c r="H60" s="2" t="s">
        <v>434</v>
      </c>
      <c r="I60" s="2" t="s">
        <v>435</v>
      </c>
    </row>
    <row r="61" spans="1:9" ht="28.5">
      <c r="A61" s="2" t="s">
        <v>226</v>
      </c>
      <c r="B61" s="2" t="s">
        <v>595</v>
      </c>
      <c r="C61" s="2" t="s">
        <v>68</v>
      </c>
      <c r="D61" s="2" t="s">
        <v>596</v>
      </c>
      <c r="E61" s="2" t="s">
        <v>597</v>
      </c>
      <c r="F61" s="2"/>
      <c r="G61" s="2"/>
      <c r="H61" s="2" t="s">
        <v>434</v>
      </c>
      <c r="I61" s="2" t="s">
        <v>435</v>
      </c>
    </row>
    <row r="62" spans="1:9" ht="28.5">
      <c r="A62" s="2" t="s">
        <v>228</v>
      </c>
      <c r="B62" s="2" t="s">
        <v>598</v>
      </c>
      <c r="C62" s="2" t="s">
        <v>68</v>
      </c>
      <c r="D62" s="2" t="s">
        <v>599</v>
      </c>
      <c r="E62" s="2" t="s">
        <v>600</v>
      </c>
      <c r="F62" s="2"/>
      <c r="G62" s="2"/>
      <c r="H62" s="2" t="s">
        <v>434</v>
      </c>
      <c r="I62" s="2" t="s">
        <v>435</v>
      </c>
    </row>
    <row r="63" spans="1:9" ht="28.5">
      <c r="A63" s="2" t="s">
        <v>230</v>
      </c>
      <c r="B63" s="2" t="s">
        <v>601</v>
      </c>
      <c r="C63" s="2" t="s">
        <v>71</v>
      </c>
      <c r="D63" s="2" t="s">
        <v>602</v>
      </c>
      <c r="E63" s="2" t="s">
        <v>603</v>
      </c>
      <c r="F63" s="2"/>
      <c r="G63" s="2"/>
      <c r="H63" s="2" t="s">
        <v>434</v>
      </c>
      <c r="I63" s="2" t="s">
        <v>435</v>
      </c>
    </row>
    <row r="64" spans="1:9" ht="28.5">
      <c r="A64" s="2" t="s">
        <v>232</v>
      </c>
      <c r="B64" s="2" t="s">
        <v>604</v>
      </c>
      <c r="C64" s="2" t="s">
        <v>71</v>
      </c>
      <c r="D64" s="2" t="s">
        <v>605</v>
      </c>
      <c r="E64" s="2" t="s">
        <v>606</v>
      </c>
      <c r="F64" s="2"/>
      <c r="G64" s="2"/>
      <c r="H64" s="2" t="s">
        <v>434</v>
      </c>
      <c r="I64" s="2" t="s">
        <v>435</v>
      </c>
    </row>
    <row r="65" spans="1:9" ht="28.5">
      <c r="A65" s="2" t="s">
        <v>232</v>
      </c>
      <c r="B65" s="2" t="s">
        <v>607</v>
      </c>
      <c r="C65" s="2" t="s">
        <v>43</v>
      </c>
      <c r="D65" s="2" t="s">
        <v>608</v>
      </c>
      <c r="E65" s="2" t="s">
        <v>606</v>
      </c>
      <c r="F65" s="2"/>
      <c r="G65" s="2"/>
      <c r="H65" s="2" t="s">
        <v>434</v>
      </c>
      <c r="I65" s="2" t="s">
        <v>435</v>
      </c>
    </row>
    <row r="66" spans="1:9" ht="28.5">
      <c r="A66" s="2" t="s">
        <v>235</v>
      </c>
      <c r="B66" s="2" t="s">
        <v>609</v>
      </c>
      <c r="C66" s="2" t="s">
        <v>71</v>
      </c>
      <c r="D66" s="2" t="s">
        <v>610</v>
      </c>
      <c r="E66" s="2" t="s">
        <v>611</v>
      </c>
      <c r="F66" s="2"/>
      <c r="G66" s="2"/>
      <c r="H66" s="2" t="s">
        <v>434</v>
      </c>
      <c r="I66" s="2" t="s">
        <v>435</v>
      </c>
    </row>
    <row r="67" spans="1:9" ht="28.5">
      <c r="A67" s="2" t="s">
        <v>235</v>
      </c>
      <c r="B67" s="2" t="s">
        <v>612</v>
      </c>
      <c r="C67" s="2" t="s">
        <v>68</v>
      </c>
      <c r="D67" s="2" t="s">
        <v>613</v>
      </c>
      <c r="E67" s="2" t="s">
        <v>611</v>
      </c>
      <c r="F67" s="2"/>
      <c r="G67" s="2"/>
      <c r="H67" s="2" t="s">
        <v>434</v>
      </c>
      <c r="I67" s="2" t="s">
        <v>435</v>
      </c>
    </row>
    <row r="68" spans="1:9" ht="28.5">
      <c r="A68" s="2" t="s">
        <v>238</v>
      </c>
      <c r="B68" s="2" t="s">
        <v>614</v>
      </c>
      <c r="C68" s="2" t="s">
        <v>71</v>
      </c>
      <c r="D68" s="2" t="s">
        <v>615</v>
      </c>
      <c r="E68" s="2" t="s">
        <v>616</v>
      </c>
      <c r="F68" s="2"/>
      <c r="G68" s="2"/>
      <c r="H68" s="2" t="s">
        <v>434</v>
      </c>
      <c r="I68" s="2" t="s">
        <v>435</v>
      </c>
    </row>
    <row r="69" spans="1:9" ht="28.5">
      <c r="A69" s="2" t="s">
        <v>240</v>
      </c>
      <c r="B69" s="2" t="s">
        <v>617</v>
      </c>
      <c r="C69" s="2" t="s">
        <v>71</v>
      </c>
      <c r="D69" s="2" t="s">
        <v>618</v>
      </c>
      <c r="E69" s="2" t="s">
        <v>619</v>
      </c>
      <c r="F69" s="2"/>
      <c r="G69" s="2"/>
      <c r="H69" s="2" t="s">
        <v>434</v>
      </c>
      <c r="I69" s="2" t="s">
        <v>435</v>
      </c>
    </row>
    <row r="70" spans="1:9" ht="28.5">
      <c r="A70" s="2" t="s">
        <v>242</v>
      </c>
      <c r="B70" s="2" t="s">
        <v>620</v>
      </c>
      <c r="C70" s="2" t="s">
        <v>71</v>
      </c>
      <c r="D70" s="2" t="s">
        <v>621</v>
      </c>
      <c r="E70" s="2" t="s">
        <v>622</v>
      </c>
      <c r="F70" s="2"/>
      <c r="G70" s="2"/>
      <c r="H70" s="2" t="s">
        <v>434</v>
      </c>
      <c r="I70" s="2" t="s">
        <v>435</v>
      </c>
    </row>
    <row r="71" spans="1:9" ht="28.5">
      <c r="A71" s="2" t="s">
        <v>244</v>
      </c>
      <c r="B71" s="2" t="s">
        <v>623</v>
      </c>
      <c r="C71" s="2" t="s">
        <v>71</v>
      </c>
      <c r="D71" s="2" t="s">
        <v>624</v>
      </c>
      <c r="E71" s="2" t="s">
        <v>625</v>
      </c>
      <c r="F71" s="2"/>
      <c r="G71" s="2"/>
      <c r="H71" s="2" t="s">
        <v>434</v>
      </c>
      <c r="I71" s="2" t="s">
        <v>435</v>
      </c>
    </row>
    <row r="72" spans="1:9" ht="28.5">
      <c r="A72" s="2" t="s">
        <v>247</v>
      </c>
      <c r="B72" s="2" t="s">
        <v>626</v>
      </c>
      <c r="C72" s="2" t="s">
        <v>414</v>
      </c>
      <c r="D72" s="2" t="s">
        <v>627</v>
      </c>
      <c r="E72" s="2" t="s">
        <v>628</v>
      </c>
      <c r="F72" s="2"/>
      <c r="G72" s="2"/>
      <c r="H72" s="2" t="s">
        <v>629</v>
      </c>
      <c r="I72" s="2" t="s">
        <v>630</v>
      </c>
    </row>
    <row r="73" spans="1:9" ht="28.5">
      <c r="A73" s="2" t="s">
        <v>253</v>
      </c>
      <c r="B73" s="2" t="s">
        <v>631</v>
      </c>
      <c r="C73" s="2" t="s">
        <v>414</v>
      </c>
      <c r="D73" s="2" t="s">
        <v>627</v>
      </c>
      <c r="E73" s="2" t="s">
        <v>628</v>
      </c>
      <c r="F73" s="2"/>
      <c r="G73" s="2"/>
      <c r="H73" s="2" t="s">
        <v>629</v>
      </c>
      <c r="I73" s="2" t="s">
        <v>630</v>
      </c>
    </row>
    <row r="74" spans="1:9" ht="28.5">
      <c r="A74" s="2" t="s">
        <v>255</v>
      </c>
      <c r="B74" s="2" t="s">
        <v>632</v>
      </c>
      <c r="C74" s="2" t="s">
        <v>414</v>
      </c>
      <c r="D74" s="2" t="s">
        <v>627</v>
      </c>
      <c r="E74" s="2" t="s">
        <v>628</v>
      </c>
      <c r="F74" s="2"/>
      <c r="G74" s="2"/>
      <c r="H74" s="2" t="s">
        <v>629</v>
      </c>
      <c r="I74" s="2" t="s">
        <v>630</v>
      </c>
    </row>
    <row r="75" spans="1:9" ht="28.5">
      <c r="A75" s="2" t="s">
        <v>257</v>
      </c>
      <c r="B75" s="2" t="s">
        <v>633</v>
      </c>
      <c r="C75" s="2" t="s">
        <v>414</v>
      </c>
      <c r="D75" s="2" t="s">
        <v>627</v>
      </c>
      <c r="E75" s="2" t="s">
        <v>628</v>
      </c>
      <c r="F75" s="2"/>
      <c r="G75" s="2"/>
      <c r="H75" s="2" t="s">
        <v>629</v>
      </c>
      <c r="I75" s="2" t="s">
        <v>630</v>
      </c>
    </row>
    <row r="76" spans="1:9" ht="28.5">
      <c r="A76" s="2" t="s">
        <v>259</v>
      </c>
      <c r="B76" s="2" t="s">
        <v>634</v>
      </c>
      <c r="C76" s="2" t="s">
        <v>414</v>
      </c>
      <c r="D76" s="2" t="s">
        <v>627</v>
      </c>
      <c r="E76" s="2" t="s">
        <v>628</v>
      </c>
      <c r="F76" s="2"/>
      <c r="G76" s="2"/>
      <c r="H76" s="2" t="s">
        <v>629</v>
      </c>
      <c r="I76" s="2" t="s">
        <v>630</v>
      </c>
    </row>
    <row r="77" spans="1:9" ht="28.5">
      <c r="A77" s="2" t="s">
        <v>261</v>
      </c>
      <c r="B77" s="2" t="s">
        <v>635</v>
      </c>
      <c r="C77" s="2" t="s">
        <v>414</v>
      </c>
      <c r="D77" s="2" t="s">
        <v>627</v>
      </c>
      <c r="E77" s="2" t="s">
        <v>628</v>
      </c>
      <c r="F77" s="2"/>
      <c r="G77" s="2"/>
      <c r="H77" s="2" t="s">
        <v>629</v>
      </c>
      <c r="I77" s="2" t="s">
        <v>630</v>
      </c>
    </row>
    <row r="78" spans="1:9" ht="28.5">
      <c r="A78" s="2" t="s">
        <v>263</v>
      </c>
      <c r="B78" s="2" t="s">
        <v>636</v>
      </c>
      <c r="C78" s="2" t="s">
        <v>414</v>
      </c>
      <c r="D78" s="2" t="s">
        <v>627</v>
      </c>
      <c r="E78" s="2" t="s">
        <v>628</v>
      </c>
      <c r="F78" s="2"/>
      <c r="G78" s="2"/>
      <c r="H78" s="2" t="s">
        <v>629</v>
      </c>
      <c r="I78" s="2" t="s">
        <v>630</v>
      </c>
    </row>
    <row r="79" spans="1:9" ht="28.5">
      <c r="A79" s="2" t="s">
        <v>265</v>
      </c>
      <c r="B79" s="2" t="s">
        <v>637</v>
      </c>
      <c r="C79" s="2" t="s">
        <v>414</v>
      </c>
      <c r="D79" s="2" t="s">
        <v>627</v>
      </c>
      <c r="E79" s="2" t="s">
        <v>628</v>
      </c>
      <c r="F79" s="2"/>
      <c r="G79" s="2"/>
      <c r="H79" s="2" t="s">
        <v>629</v>
      </c>
      <c r="I79" s="2" t="s">
        <v>630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4"/>
  <sheetViews>
    <sheetView topLeftCell="B1" workbookViewId="0">
      <pane ySplit="1" topLeftCell="A2" activePane="bottomLeft" state="frozen"/>
      <selection pane="bottomLeft"/>
    </sheetView>
  </sheetViews>
  <sheetFormatPr defaultRowHeight="14.25"/>
  <cols>
    <col min="1" max="1" width="12" customWidth="1"/>
    <col min="2" max="2" width="16" customWidth="1"/>
    <col min="3" max="3" width="18" customWidth="1"/>
    <col min="4" max="4" width="92" customWidth="1"/>
    <col min="5" max="5" width="12" customWidth="1"/>
    <col min="6" max="6" width="52" customWidth="1"/>
    <col min="7" max="7" width="22" customWidth="1"/>
    <col min="8" max="8" width="28" customWidth="1"/>
  </cols>
  <sheetData>
    <row r="1" spans="1:8" ht="33" customHeight="1">
      <c r="A1" s="5" t="s">
        <v>75</v>
      </c>
      <c r="B1" s="5" t="s">
        <v>638</v>
      </c>
      <c r="C1" s="5" t="s">
        <v>639</v>
      </c>
      <c r="D1" s="5" t="s">
        <v>640</v>
      </c>
      <c r="E1" s="5" t="s">
        <v>641</v>
      </c>
      <c r="F1" s="5" t="s">
        <v>642</v>
      </c>
      <c r="G1" s="5" t="s">
        <v>643</v>
      </c>
      <c r="H1" s="7" t="s">
        <v>644</v>
      </c>
    </row>
    <row r="2" spans="1:8" ht="24" customHeight="1">
      <c r="A2" s="2" t="s">
        <v>88</v>
      </c>
      <c r="B2" s="2" t="s">
        <v>645</v>
      </c>
      <c r="C2" s="2" t="s">
        <v>646</v>
      </c>
      <c r="D2" s="2" t="s">
        <v>647</v>
      </c>
      <c r="E2" s="2" t="s">
        <v>39</v>
      </c>
      <c r="F2" s="2" t="s">
        <v>431</v>
      </c>
      <c r="G2" s="2" t="s">
        <v>648</v>
      </c>
      <c r="H2" s="2" t="s">
        <v>649</v>
      </c>
    </row>
    <row r="3" spans="1:8" ht="24" customHeight="1">
      <c r="A3" s="2" t="s">
        <v>88</v>
      </c>
      <c r="B3" s="2" t="s">
        <v>650</v>
      </c>
      <c r="C3" s="2" t="s">
        <v>646</v>
      </c>
      <c r="D3" s="2" t="s">
        <v>651</v>
      </c>
      <c r="E3" s="2" t="s">
        <v>39</v>
      </c>
      <c r="F3" s="2" t="s">
        <v>431</v>
      </c>
      <c r="G3" s="2" t="s">
        <v>648</v>
      </c>
      <c r="H3" s="2" t="s">
        <v>649</v>
      </c>
    </row>
    <row r="4" spans="1:8" ht="24" customHeight="1">
      <c r="A4" s="2" t="s">
        <v>88</v>
      </c>
      <c r="B4" s="2" t="s">
        <v>652</v>
      </c>
      <c r="C4" s="2" t="s">
        <v>646</v>
      </c>
      <c r="D4" s="2" t="s">
        <v>653</v>
      </c>
      <c r="E4" s="2" t="s">
        <v>39</v>
      </c>
      <c r="F4" s="2" t="s">
        <v>431</v>
      </c>
      <c r="G4" s="2" t="s">
        <v>648</v>
      </c>
      <c r="H4" s="2" t="s">
        <v>649</v>
      </c>
    </row>
    <row r="5" spans="1:8" ht="24" customHeight="1">
      <c r="A5" s="2" t="s">
        <v>88</v>
      </c>
      <c r="B5" s="2" t="s">
        <v>654</v>
      </c>
      <c r="C5" s="2" t="s">
        <v>655</v>
      </c>
      <c r="D5" s="2" t="s">
        <v>656</v>
      </c>
      <c r="E5" s="2" t="s">
        <v>40</v>
      </c>
      <c r="F5" s="2" t="s">
        <v>431</v>
      </c>
      <c r="G5" s="2" t="s">
        <v>648</v>
      </c>
      <c r="H5" s="2" t="s">
        <v>649</v>
      </c>
    </row>
    <row r="6" spans="1:8" ht="24" customHeight="1">
      <c r="A6" s="2" t="s">
        <v>97</v>
      </c>
      <c r="B6" s="2" t="s">
        <v>657</v>
      </c>
      <c r="C6" s="2" t="s">
        <v>646</v>
      </c>
      <c r="D6" s="2" t="s">
        <v>658</v>
      </c>
      <c r="E6" s="2" t="s">
        <v>39</v>
      </c>
      <c r="F6" s="2" t="s">
        <v>436</v>
      </c>
      <c r="G6" s="2" t="s">
        <v>648</v>
      </c>
      <c r="H6" s="2" t="s">
        <v>649</v>
      </c>
    </row>
    <row r="7" spans="1:8" ht="24" customHeight="1">
      <c r="A7" s="2" t="s">
        <v>97</v>
      </c>
      <c r="B7" s="2" t="s">
        <v>659</v>
      </c>
      <c r="C7" s="2" t="s">
        <v>646</v>
      </c>
      <c r="D7" s="2" t="s">
        <v>660</v>
      </c>
      <c r="E7" s="2" t="s">
        <v>39</v>
      </c>
      <c r="F7" s="2" t="s">
        <v>436</v>
      </c>
      <c r="G7" s="2" t="s">
        <v>648</v>
      </c>
      <c r="H7" s="2" t="s">
        <v>649</v>
      </c>
    </row>
    <row r="8" spans="1:8" ht="24" customHeight="1">
      <c r="A8" s="2" t="s">
        <v>97</v>
      </c>
      <c r="B8" s="2" t="s">
        <v>661</v>
      </c>
      <c r="C8" s="2" t="s">
        <v>646</v>
      </c>
      <c r="D8" s="2" t="s">
        <v>662</v>
      </c>
      <c r="E8" s="2" t="s">
        <v>39</v>
      </c>
      <c r="F8" s="2" t="s">
        <v>436</v>
      </c>
      <c r="G8" s="2" t="s">
        <v>648</v>
      </c>
      <c r="H8" s="2" t="s">
        <v>649</v>
      </c>
    </row>
    <row r="9" spans="1:8" ht="24" customHeight="1">
      <c r="A9" s="2" t="s">
        <v>97</v>
      </c>
      <c r="B9" s="2" t="s">
        <v>663</v>
      </c>
      <c r="C9" s="2" t="s">
        <v>655</v>
      </c>
      <c r="D9" s="2" t="s">
        <v>664</v>
      </c>
      <c r="E9" s="2" t="s">
        <v>40</v>
      </c>
      <c r="F9" s="2" t="s">
        <v>436</v>
      </c>
      <c r="G9" s="2" t="s">
        <v>648</v>
      </c>
      <c r="H9" s="2" t="s">
        <v>649</v>
      </c>
    </row>
    <row r="10" spans="1:8" ht="24" customHeight="1">
      <c r="A10" s="2" t="s">
        <v>103</v>
      </c>
      <c r="B10" s="2" t="s">
        <v>665</v>
      </c>
      <c r="C10" s="2" t="s">
        <v>646</v>
      </c>
      <c r="D10" s="2" t="s">
        <v>666</v>
      </c>
      <c r="E10" s="2" t="s">
        <v>39</v>
      </c>
      <c r="F10" s="2" t="s">
        <v>439</v>
      </c>
      <c r="G10" s="2" t="s">
        <v>648</v>
      </c>
      <c r="H10" s="2" t="s">
        <v>649</v>
      </c>
    </row>
    <row r="11" spans="1:8" ht="24" customHeight="1">
      <c r="A11" s="2" t="s">
        <v>103</v>
      </c>
      <c r="B11" s="2" t="s">
        <v>667</v>
      </c>
      <c r="C11" s="2" t="s">
        <v>646</v>
      </c>
      <c r="D11" s="2" t="s">
        <v>668</v>
      </c>
      <c r="E11" s="2" t="s">
        <v>39</v>
      </c>
      <c r="F11" s="2" t="s">
        <v>439</v>
      </c>
      <c r="G11" s="2" t="s">
        <v>648</v>
      </c>
      <c r="H11" s="2" t="s">
        <v>649</v>
      </c>
    </row>
    <row r="12" spans="1:8" ht="24" customHeight="1">
      <c r="A12" s="2" t="s">
        <v>103</v>
      </c>
      <c r="B12" s="2" t="s">
        <v>669</v>
      </c>
      <c r="C12" s="2" t="s">
        <v>655</v>
      </c>
      <c r="D12" s="2" t="s">
        <v>670</v>
      </c>
      <c r="E12" s="2" t="s">
        <v>40</v>
      </c>
      <c r="F12" s="2" t="s">
        <v>439</v>
      </c>
      <c r="G12" s="2" t="s">
        <v>648</v>
      </c>
      <c r="H12" s="2" t="s">
        <v>649</v>
      </c>
    </row>
    <row r="13" spans="1:8" ht="24" customHeight="1">
      <c r="A13" s="2" t="s">
        <v>108</v>
      </c>
      <c r="B13" s="2" t="s">
        <v>671</v>
      </c>
      <c r="C13" s="2" t="s">
        <v>646</v>
      </c>
      <c r="D13" s="2" t="s">
        <v>292</v>
      </c>
      <c r="E13" s="2" t="s">
        <v>39</v>
      </c>
      <c r="F13" s="2" t="s">
        <v>442</v>
      </c>
      <c r="G13" s="2" t="s">
        <v>648</v>
      </c>
      <c r="H13" s="2" t="s">
        <v>649</v>
      </c>
    </row>
    <row r="14" spans="1:8" ht="24" customHeight="1">
      <c r="A14" s="2" t="s">
        <v>108</v>
      </c>
      <c r="B14" s="2" t="s">
        <v>672</v>
      </c>
      <c r="C14" s="2" t="s">
        <v>655</v>
      </c>
      <c r="D14" s="2" t="s">
        <v>673</v>
      </c>
      <c r="E14" s="2" t="s">
        <v>40</v>
      </c>
      <c r="F14" s="2" t="s">
        <v>442</v>
      </c>
      <c r="G14" s="2" t="s">
        <v>648</v>
      </c>
      <c r="H14" s="2" t="s">
        <v>649</v>
      </c>
    </row>
    <row r="15" spans="1:8" ht="24" customHeight="1">
      <c r="A15" s="2" t="s">
        <v>113</v>
      </c>
      <c r="B15" s="2" t="s">
        <v>674</v>
      </c>
      <c r="C15" s="2" t="s">
        <v>646</v>
      </c>
      <c r="D15" s="2" t="s">
        <v>675</v>
      </c>
      <c r="E15" s="2" t="s">
        <v>39</v>
      </c>
      <c r="F15" s="2" t="s">
        <v>445</v>
      </c>
      <c r="G15" s="2" t="s">
        <v>648</v>
      </c>
      <c r="H15" s="2" t="s">
        <v>649</v>
      </c>
    </row>
    <row r="16" spans="1:8" ht="24" customHeight="1">
      <c r="A16" s="2" t="s">
        <v>113</v>
      </c>
      <c r="B16" s="2" t="s">
        <v>676</v>
      </c>
      <c r="C16" s="2" t="s">
        <v>646</v>
      </c>
      <c r="D16" s="2" t="s">
        <v>677</v>
      </c>
      <c r="E16" s="2" t="s">
        <v>39</v>
      </c>
      <c r="F16" s="2" t="s">
        <v>445</v>
      </c>
      <c r="G16" s="2" t="s">
        <v>648</v>
      </c>
      <c r="H16" s="2" t="s">
        <v>649</v>
      </c>
    </row>
    <row r="17" spans="1:8" ht="24" customHeight="1">
      <c r="A17" s="2" t="s">
        <v>113</v>
      </c>
      <c r="B17" s="2" t="s">
        <v>678</v>
      </c>
      <c r="C17" s="2" t="s">
        <v>646</v>
      </c>
      <c r="D17" s="2" t="s">
        <v>679</v>
      </c>
      <c r="E17" s="2" t="s">
        <v>39</v>
      </c>
      <c r="F17" s="2" t="s">
        <v>445</v>
      </c>
      <c r="G17" s="2" t="s">
        <v>648</v>
      </c>
      <c r="H17" s="2" t="s">
        <v>649</v>
      </c>
    </row>
    <row r="18" spans="1:8" ht="24" customHeight="1">
      <c r="A18" s="2" t="s">
        <v>113</v>
      </c>
      <c r="B18" s="2" t="s">
        <v>680</v>
      </c>
      <c r="C18" s="2" t="s">
        <v>655</v>
      </c>
      <c r="D18" s="2" t="s">
        <v>656</v>
      </c>
      <c r="E18" s="2" t="s">
        <v>40</v>
      </c>
      <c r="F18" s="2" t="s">
        <v>445</v>
      </c>
      <c r="G18" s="2" t="s">
        <v>648</v>
      </c>
      <c r="H18" s="2" t="s">
        <v>649</v>
      </c>
    </row>
    <row r="19" spans="1:8" ht="24" customHeight="1">
      <c r="A19" s="2" t="s">
        <v>116</v>
      </c>
      <c r="B19" s="2" t="s">
        <v>681</v>
      </c>
      <c r="C19" s="2" t="s">
        <v>646</v>
      </c>
      <c r="D19" s="2" t="s">
        <v>682</v>
      </c>
      <c r="E19" s="2" t="s">
        <v>39</v>
      </c>
      <c r="F19" s="2" t="s">
        <v>448</v>
      </c>
      <c r="G19" s="2" t="s">
        <v>648</v>
      </c>
      <c r="H19" s="2" t="s">
        <v>649</v>
      </c>
    </row>
    <row r="20" spans="1:8" ht="24" customHeight="1">
      <c r="A20" s="2" t="s">
        <v>116</v>
      </c>
      <c r="B20" s="2" t="s">
        <v>683</v>
      </c>
      <c r="C20" s="2" t="s">
        <v>646</v>
      </c>
      <c r="D20" s="2" t="s">
        <v>684</v>
      </c>
      <c r="E20" s="2" t="s">
        <v>39</v>
      </c>
      <c r="F20" s="2" t="s">
        <v>448</v>
      </c>
      <c r="G20" s="2" t="s">
        <v>648</v>
      </c>
      <c r="H20" s="2" t="s">
        <v>649</v>
      </c>
    </row>
    <row r="21" spans="1:8" ht="24" customHeight="1">
      <c r="A21" s="2" t="s">
        <v>116</v>
      </c>
      <c r="B21" s="2" t="s">
        <v>685</v>
      </c>
      <c r="C21" s="2" t="s">
        <v>646</v>
      </c>
      <c r="D21" s="2" t="s">
        <v>686</v>
      </c>
      <c r="E21" s="2" t="s">
        <v>39</v>
      </c>
      <c r="F21" s="2" t="s">
        <v>448</v>
      </c>
      <c r="G21" s="2" t="s">
        <v>648</v>
      </c>
      <c r="H21" s="2" t="s">
        <v>649</v>
      </c>
    </row>
    <row r="22" spans="1:8" ht="24" customHeight="1">
      <c r="A22" s="2" t="s">
        <v>116</v>
      </c>
      <c r="B22" s="2" t="s">
        <v>687</v>
      </c>
      <c r="C22" s="2" t="s">
        <v>655</v>
      </c>
      <c r="D22" s="2" t="s">
        <v>656</v>
      </c>
      <c r="E22" s="2" t="s">
        <v>40</v>
      </c>
      <c r="F22" s="2" t="s">
        <v>448</v>
      </c>
      <c r="G22" s="2" t="s">
        <v>648</v>
      </c>
      <c r="H22" s="2" t="s">
        <v>649</v>
      </c>
    </row>
    <row r="23" spans="1:8" ht="24" customHeight="1">
      <c r="A23" s="2" t="s">
        <v>118</v>
      </c>
      <c r="B23" s="2" t="s">
        <v>688</v>
      </c>
      <c r="C23" s="2" t="s">
        <v>646</v>
      </c>
      <c r="D23" s="2" t="s">
        <v>689</v>
      </c>
      <c r="E23" s="2" t="s">
        <v>39</v>
      </c>
      <c r="F23" s="2" t="s">
        <v>451</v>
      </c>
      <c r="G23" s="2" t="s">
        <v>648</v>
      </c>
      <c r="H23" s="2" t="s">
        <v>649</v>
      </c>
    </row>
    <row r="24" spans="1:8" ht="24" customHeight="1">
      <c r="A24" s="2" t="s">
        <v>118</v>
      </c>
      <c r="B24" s="2" t="s">
        <v>690</v>
      </c>
      <c r="C24" s="2" t="s">
        <v>646</v>
      </c>
      <c r="D24" s="2" t="s">
        <v>691</v>
      </c>
      <c r="E24" s="2" t="s">
        <v>39</v>
      </c>
      <c r="F24" s="2" t="s">
        <v>451</v>
      </c>
      <c r="G24" s="2" t="s">
        <v>648</v>
      </c>
      <c r="H24" s="2" t="s">
        <v>649</v>
      </c>
    </row>
    <row r="25" spans="1:8" ht="24" customHeight="1">
      <c r="A25" s="2" t="s">
        <v>118</v>
      </c>
      <c r="B25" s="2" t="s">
        <v>692</v>
      </c>
      <c r="C25" s="2" t="s">
        <v>646</v>
      </c>
      <c r="D25" s="2" t="s">
        <v>693</v>
      </c>
      <c r="E25" s="2" t="s">
        <v>39</v>
      </c>
      <c r="F25" s="2" t="s">
        <v>451</v>
      </c>
      <c r="G25" s="2" t="s">
        <v>648</v>
      </c>
      <c r="H25" s="2" t="s">
        <v>649</v>
      </c>
    </row>
    <row r="26" spans="1:8" ht="24" customHeight="1">
      <c r="A26" s="2" t="s">
        <v>118</v>
      </c>
      <c r="B26" s="2" t="s">
        <v>694</v>
      </c>
      <c r="C26" s="2" t="s">
        <v>655</v>
      </c>
      <c r="D26" s="2" t="s">
        <v>695</v>
      </c>
      <c r="E26" s="2" t="s">
        <v>40</v>
      </c>
      <c r="F26" s="2" t="s">
        <v>451</v>
      </c>
      <c r="G26" s="2" t="s">
        <v>648</v>
      </c>
      <c r="H26" s="2" t="s">
        <v>649</v>
      </c>
    </row>
    <row r="27" spans="1:8" ht="24" customHeight="1">
      <c r="A27" s="2" t="s">
        <v>121</v>
      </c>
      <c r="B27" s="2" t="s">
        <v>696</v>
      </c>
      <c r="C27" s="2" t="s">
        <v>646</v>
      </c>
      <c r="D27" s="2" t="s">
        <v>697</v>
      </c>
      <c r="E27" s="2" t="s">
        <v>39</v>
      </c>
      <c r="F27" s="2" t="s">
        <v>454</v>
      </c>
      <c r="G27" s="2" t="s">
        <v>648</v>
      </c>
      <c r="H27" s="2" t="s">
        <v>649</v>
      </c>
    </row>
    <row r="28" spans="1:8" ht="24" customHeight="1">
      <c r="A28" s="2" t="s">
        <v>121</v>
      </c>
      <c r="B28" s="2" t="s">
        <v>698</v>
      </c>
      <c r="C28" s="2" t="s">
        <v>646</v>
      </c>
      <c r="D28" s="2" t="s">
        <v>699</v>
      </c>
      <c r="E28" s="2" t="s">
        <v>39</v>
      </c>
      <c r="F28" s="2" t="s">
        <v>454</v>
      </c>
      <c r="G28" s="2" t="s">
        <v>648</v>
      </c>
      <c r="H28" s="2" t="s">
        <v>649</v>
      </c>
    </row>
    <row r="29" spans="1:8" ht="24" customHeight="1">
      <c r="A29" s="2" t="s">
        <v>121</v>
      </c>
      <c r="B29" s="2" t="s">
        <v>700</v>
      </c>
      <c r="C29" s="2" t="s">
        <v>646</v>
      </c>
      <c r="D29" s="2" t="s">
        <v>701</v>
      </c>
      <c r="E29" s="2" t="s">
        <v>39</v>
      </c>
      <c r="F29" s="2" t="s">
        <v>454</v>
      </c>
      <c r="G29" s="2" t="s">
        <v>648</v>
      </c>
      <c r="H29" s="2" t="s">
        <v>649</v>
      </c>
    </row>
    <row r="30" spans="1:8" ht="24" customHeight="1">
      <c r="A30" s="2" t="s">
        <v>121</v>
      </c>
      <c r="B30" s="2" t="s">
        <v>702</v>
      </c>
      <c r="C30" s="2" t="s">
        <v>655</v>
      </c>
      <c r="D30" s="2" t="s">
        <v>656</v>
      </c>
      <c r="E30" s="2" t="s">
        <v>40</v>
      </c>
      <c r="F30" s="2" t="s">
        <v>454</v>
      </c>
      <c r="G30" s="2" t="s">
        <v>648</v>
      </c>
      <c r="H30" s="2" t="s">
        <v>649</v>
      </c>
    </row>
    <row r="31" spans="1:8" ht="24" customHeight="1">
      <c r="A31" s="2" t="s">
        <v>124</v>
      </c>
      <c r="B31" s="2" t="s">
        <v>703</v>
      </c>
      <c r="C31" s="2" t="s">
        <v>646</v>
      </c>
      <c r="D31" s="2" t="s">
        <v>704</v>
      </c>
      <c r="E31" s="2" t="s">
        <v>39</v>
      </c>
      <c r="F31" s="2" t="s">
        <v>705</v>
      </c>
      <c r="G31" s="2" t="s">
        <v>706</v>
      </c>
      <c r="H31" s="2" t="s">
        <v>649</v>
      </c>
    </row>
    <row r="32" spans="1:8" ht="24" customHeight="1">
      <c r="A32" s="2" t="s">
        <v>124</v>
      </c>
      <c r="B32" s="2" t="s">
        <v>707</v>
      </c>
      <c r="C32" s="2" t="s">
        <v>646</v>
      </c>
      <c r="D32" s="2" t="s">
        <v>708</v>
      </c>
      <c r="E32" s="2" t="s">
        <v>39</v>
      </c>
      <c r="F32" s="2" t="s">
        <v>705</v>
      </c>
      <c r="G32" s="2" t="s">
        <v>706</v>
      </c>
      <c r="H32" s="2" t="s">
        <v>649</v>
      </c>
    </row>
    <row r="33" spans="1:8" ht="24" customHeight="1">
      <c r="A33" s="2" t="s">
        <v>124</v>
      </c>
      <c r="B33" s="2" t="s">
        <v>709</v>
      </c>
      <c r="C33" s="2" t="s">
        <v>646</v>
      </c>
      <c r="D33" s="2" t="s">
        <v>710</v>
      </c>
      <c r="E33" s="2" t="s">
        <v>39</v>
      </c>
      <c r="F33" s="2" t="s">
        <v>705</v>
      </c>
      <c r="G33" s="2" t="s">
        <v>706</v>
      </c>
      <c r="H33" s="2" t="s">
        <v>649</v>
      </c>
    </row>
    <row r="34" spans="1:8" ht="24" customHeight="1">
      <c r="A34" s="2" t="s">
        <v>124</v>
      </c>
      <c r="B34" s="2" t="s">
        <v>711</v>
      </c>
      <c r="C34" s="2" t="s">
        <v>646</v>
      </c>
      <c r="D34" s="2" t="s">
        <v>712</v>
      </c>
      <c r="E34" s="2" t="s">
        <v>39</v>
      </c>
      <c r="F34" s="2" t="s">
        <v>705</v>
      </c>
      <c r="G34" s="2" t="s">
        <v>706</v>
      </c>
      <c r="H34" s="2" t="s">
        <v>649</v>
      </c>
    </row>
    <row r="35" spans="1:8" ht="24" customHeight="1">
      <c r="A35" s="2" t="s">
        <v>124</v>
      </c>
      <c r="B35" s="2" t="s">
        <v>713</v>
      </c>
      <c r="C35" s="2" t="s">
        <v>655</v>
      </c>
      <c r="D35" s="2" t="s">
        <v>714</v>
      </c>
      <c r="E35" s="2" t="s">
        <v>40</v>
      </c>
      <c r="F35" s="2" t="s">
        <v>705</v>
      </c>
      <c r="G35" s="2" t="s">
        <v>706</v>
      </c>
      <c r="H35" s="2" t="s">
        <v>649</v>
      </c>
    </row>
    <row r="36" spans="1:8" ht="24" customHeight="1">
      <c r="A36" s="2" t="s">
        <v>127</v>
      </c>
      <c r="B36" s="2" t="s">
        <v>715</v>
      </c>
      <c r="C36" s="2" t="s">
        <v>646</v>
      </c>
      <c r="D36" s="2" t="s">
        <v>716</v>
      </c>
      <c r="E36" s="2" t="s">
        <v>39</v>
      </c>
      <c r="F36" s="2" t="s">
        <v>717</v>
      </c>
      <c r="G36" s="2" t="s">
        <v>706</v>
      </c>
      <c r="H36" s="2" t="s">
        <v>649</v>
      </c>
    </row>
    <row r="37" spans="1:8" ht="24" customHeight="1">
      <c r="A37" s="2" t="s">
        <v>127</v>
      </c>
      <c r="B37" s="2" t="s">
        <v>718</v>
      </c>
      <c r="C37" s="2" t="s">
        <v>646</v>
      </c>
      <c r="D37" s="2" t="s">
        <v>719</v>
      </c>
      <c r="E37" s="2" t="s">
        <v>39</v>
      </c>
      <c r="F37" s="2" t="s">
        <v>717</v>
      </c>
      <c r="G37" s="2" t="s">
        <v>706</v>
      </c>
      <c r="H37" s="2" t="s">
        <v>649</v>
      </c>
    </row>
    <row r="38" spans="1:8" ht="24" customHeight="1">
      <c r="A38" s="2" t="s">
        <v>127</v>
      </c>
      <c r="B38" s="2" t="s">
        <v>720</v>
      </c>
      <c r="C38" s="2" t="s">
        <v>646</v>
      </c>
      <c r="D38" s="2" t="s">
        <v>721</v>
      </c>
      <c r="E38" s="2" t="s">
        <v>39</v>
      </c>
      <c r="F38" s="2" t="s">
        <v>717</v>
      </c>
      <c r="G38" s="2" t="s">
        <v>706</v>
      </c>
      <c r="H38" s="2" t="s">
        <v>649</v>
      </c>
    </row>
    <row r="39" spans="1:8" ht="24" customHeight="1">
      <c r="A39" s="2" t="s">
        <v>127</v>
      </c>
      <c r="B39" s="2" t="s">
        <v>722</v>
      </c>
      <c r="C39" s="2" t="s">
        <v>655</v>
      </c>
      <c r="D39" s="2" t="s">
        <v>723</v>
      </c>
      <c r="E39" s="2" t="s">
        <v>40</v>
      </c>
      <c r="F39" s="2" t="s">
        <v>717</v>
      </c>
      <c r="G39" s="2" t="s">
        <v>706</v>
      </c>
      <c r="H39" s="2" t="s">
        <v>649</v>
      </c>
    </row>
    <row r="40" spans="1:8" ht="24" customHeight="1">
      <c r="A40" s="2" t="s">
        <v>130</v>
      </c>
      <c r="B40" s="2" t="s">
        <v>724</v>
      </c>
      <c r="C40" s="2" t="s">
        <v>646</v>
      </c>
      <c r="D40" s="2" t="s">
        <v>725</v>
      </c>
      <c r="E40" s="2" t="s">
        <v>39</v>
      </c>
      <c r="F40" s="2" t="s">
        <v>466</v>
      </c>
      <c r="G40" s="2" t="s">
        <v>648</v>
      </c>
      <c r="H40" s="2" t="s">
        <v>649</v>
      </c>
    </row>
    <row r="41" spans="1:8" ht="24" customHeight="1">
      <c r="A41" s="2" t="s">
        <v>130</v>
      </c>
      <c r="B41" s="2" t="s">
        <v>726</v>
      </c>
      <c r="C41" s="2" t="s">
        <v>646</v>
      </c>
      <c r="D41" s="2" t="s">
        <v>727</v>
      </c>
      <c r="E41" s="2" t="s">
        <v>39</v>
      </c>
      <c r="F41" s="2" t="s">
        <v>466</v>
      </c>
      <c r="G41" s="2" t="s">
        <v>648</v>
      </c>
      <c r="H41" s="2" t="s">
        <v>649</v>
      </c>
    </row>
    <row r="42" spans="1:8" ht="24" customHeight="1">
      <c r="A42" s="2" t="s">
        <v>130</v>
      </c>
      <c r="B42" s="2" t="s">
        <v>728</v>
      </c>
      <c r="C42" s="2" t="s">
        <v>646</v>
      </c>
      <c r="D42" s="2" t="s">
        <v>729</v>
      </c>
      <c r="E42" s="2" t="s">
        <v>39</v>
      </c>
      <c r="F42" s="2" t="s">
        <v>466</v>
      </c>
      <c r="G42" s="2" t="s">
        <v>648</v>
      </c>
      <c r="H42" s="2" t="s">
        <v>649</v>
      </c>
    </row>
    <row r="43" spans="1:8" ht="24" customHeight="1">
      <c r="A43" s="2" t="s">
        <v>130</v>
      </c>
      <c r="B43" s="2" t="s">
        <v>730</v>
      </c>
      <c r="C43" s="2" t="s">
        <v>655</v>
      </c>
      <c r="D43" s="2" t="s">
        <v>656</v>
      </c>
      <c r="E43" s="2" t="s">
        <v>40</v>
      </c>
      <c r="F43" s="2" t="s">
        <v>466</v>
      </c>
      <c r="G43" s="2" t="s">
        <v>648</v>
      </c>
      <c r="H43" s="2" t="s">
        <v>649</v>
      </c>
    </row>
    <row r="44" spans="1:8" ht="24" customHeight="1">
      <c r="A44" s="2" t="s">
        <v>133</v>
      </c>
      <c r="B44" s="2" t="s">
        <v>731</v>
      </c>
      <c r="C44" s="2" t="s">
        <v>646</v>
      </c>
      <c r="D44" s="2" t="s">
        <v>732</v>
      </c>
      <c r="E44" s="2" t="s">
        <v>39</v>
      </c>
      <c r="F44" s="2" t="s">
        <v>733</v>
      </c>
      <c r="G44" s="2" t="s">
        <v>648</v>
      </c>
      <c r="H44" s="2" t="s">
        <v>649</v>
      </c>
    </row>
    <row r="45" spans="1:8" ht="24" customHeight="1">
      <c r="A45" s="2" t="s">
        <v>133</v>
      </c>
      <c r="B45" s="2" t="s">
        <v>734</v>
      </c>
      <c r="C45" s="2" t="s">
        <v>646</v>
      </c>
      <c r="D45" s="2" t="s">
        <v>735</v>
      </c>
      <c r="E45" s="2" t="s">
        <v>39</v>
      </c>
      <c r="F45" s="2" t="s">
        <v>733</v>
      </c>
      <c r="G45" s="2" t="s">
        <v>648</v>
      </c>
      <c r="H45" s="2" t="s">
        <v>649</v>
      </c>
    </row>
    <row r="46" spans="1:8" ht="24" customHeight="1">
      <c r="A46" s="2" t="s">
        <v>133</v>
      </c>
      <c r="B46" s="2" t="s">
        <v>736</v>
      </c>
      <c r="C46" s="2" t="s">
        <v>646</v>
      </c>
      <c r="D46" s="2" t="s">
        <v>737</v>
      </c>
      <c r="E46" s="2" t="s">
        <v>39</v>
      </c>
      <c r="F46" s="2" t="s">
        <v>733</v>
      </c>
      <c r="G46" s="2" t="s">
        <v>648</v>
      </c>
      <c r="H46" s="2" t="s">
        <v>649</v>
      </c>
    </row>
    <row r="47" spans="1:8" ht="24" customHeight="1">
      <c r="A47" s="2" t="s">
        <v>133</v>
      </c>
      <c r="B47" s="2" t="s">
        <v>738</v>
      </c>
      <c r="C47" s="2" t="s">
        <v>655</v>
      </c>
      <c r="D47" s="2" t="s">
        <v>739</v>
      </c>
      <c r="E47" s="2" t="s">
        <v>40</v>
      </c>
      <c r="F47" s="2" t="s">
        <v>733</v>
      </c>
      <c r="G47" s="2" t="s">
        <v>648</v>
      </c>
      <c r="H47" s="2" t="s">
        <v>649</v>
      </c>
    </row>
    <row r="48" spans="1:8" ht="24" customHeight="1">
      <c r="A48" s="2" t="s">
        <v>136</v>
      </c>
      <c r="B48" s="2" t="s">
        <v>740</v>
      </c>
      <c r="C48" s="2" t="s">
        <v>646</v>
      </c>
      <c r="D48" s="2" t="s">
        <v>741</v>
      </c>
      <c r="E48" s="2" t="s">
        <v>39</v>
      </c>
      <c r="F48" s="2" t="s">
        <v>474</v>
      </c>
      <c r="G48" s="2" t="s">
        <v>706</v>
      </c>
      <c r="H48" s="2" t="s">
        <v>649</v>
      </c>
    </row>
    <row r="49" spans="1:8" ht="24" customHeight="1">
      <c r="A49" s="2" t="s">
        <v>136</v>
      </c>
      <c r="B49" s="2" t="s">
        <v>742</v>
      </c>
      <c r="C49" s="2" t="s">
        <v>646</v>
      </c>
      <c r="D49" s="2" t="s">
        <v>743</v>
      </c>
      <c r="E49" s="2" t="s">
        <v>39</v>
      </c>
      <c r="F49" s="2" t="s">
        <v>474</v>
      </c>
      <c r="G49" s="2" t="s">
        <v>706</v>
      </c>
      <c r="H49" s="2" t="s">
        <v>649</v>
      </c>
    </row>
    <row r="50" spans="1:8" ht="24" customHeight="1">
      <c r="A50" s="2" t="s">
        <v>136</v>
      </c>
      <c r="B50" s="2" t="s">
        <v>744</v>
      </c>
      <c r="C50" s="2" t="s">
        <v>646</v>
      </c>
      <c r="D50" s="2" t="s">
        <v>745</v>
      </c>
      <c r="E50" s="2" t="s">
        <v>39</v>
      </c>
      <c r="F50" s="2" t="s">
        <v>474</v>
      </c>
      <c r="G50" s="2" t="s">
        <v>706</v>
      </c>
      <c r="H50" s="2" t="s">
        <v>649</v>
      </c>
    </row>
    <row r="51" spans="1:8" ht="24" customHeight="1">
      <c r="A51" s="2" t="s">
        <v>136</v>
      </c>
      <c r="B51" s="2" t="s">
        <v>746</v>
      </c>
      <c r="C51" s="2" t="s">
        <v>655</v>
      </c>
      <c r="D51" s="2" t="s">
        <v>747</v>
      </c>
      <c r="E51" s="2" t="s">
        <v>40</v>
      </c>
      <c r="F51" s="2" t="s">
        <v>474</v>
      </c>
      <c r="G51" s="2" t="s">
        <v>706</v>
      </c>
      <c r="H51" s="2" t="s">
        <v>649</v>
      </c>
    </row>
    <row r="52" spans="1:8" ht="24" customHeight="1">
      <c r="A52" s="2" t="s">
        <v>138</v>
      </c>
      <c r="B52" s="2" t="s">
        <v>748</v>
      </c>
      <c r="C52" s="2" t="s">
        <v>646</v>
      </c>
      <c r="D52" s="2" t="s">
        <v>749</v>
      </c>
      <c r="E52" s="2" t="s">
        <v>39</v>
      </c>
      <c r="F52" s="2" t="s">
        <v>477</v>
      </c>
      <c r="G52" s="2" t="s">
        <v>648</v>
      </c>
      <c r="H52" s="2" t="s">
        <v>649</v>
      </c>
    </row>
    <row r="53" spans="1:8" ht="24" customHeight="1">
      <c r="A53" s="2" t="s">
        <v>138</v>
      </c>
      <c r="B53" s="2" t="s">
        <v>750</v>
      </c>
      <c r="C53" s="2" t="s">
        <v>646</v>
      </c>
      <c r="D53" s="2" t="s">
        <v>751</v>
      </c>
      <c r="E53" s="2" t="s">
        <v>39</v>
      </c>
      <c r="F53" s="2" t="s">
        <v>477</v>
      </c>
      <c r="G53" s="2" t="s">
        <v>648</v>
      </c>
      <c r="H53" s="2" t="s">
        <v>649</v>
      </c>
    </row>
    <row r="54" spans="1:8" ht="24" customHeight="1">
      <c r="A54" s="2" t="s">
        <v>138</v>
      </c>
      <c r="B54" s="2" t="s">
        <v>752</v>
      </c>
      <c r="C54" s="2" t="s">
        <v>646</v>
      </c>
      <c r="D54" s="2" t="s">
        <v>753</v>
      </c>
      <c r="E54" s="2" t="s">
        <v>39</v>
      </c>
      <c r="F54" s="2" t="s">
        <v>477</v>
      </c>
      <c r="G54" s="2" t="s">
        <v>648</v>
      </c>
      <c r="H54" s="2" t="s">
        <v>649</v>
      </c>
    </row>
    <row r="55" spans="1:8" ht="24" customHeight="1">
      <c r="A55" s="2" t="s">
        <v>138</v>
      </c>
      <c r="B55" s="2" t="s">
        <v>754</v>
      </c>
      <c r="C55" s="2" t="s">
        <v>655</v>
      </c>
      <c r="D55" s="2" t="s">
        <v>656</v>
      </c>
      <c r="E55" s="2" t="s">
        <v>40</v>
      </c>
      <c r="F55" s="2" t="s">
        <v>477</v>
      </c>
      <c r="G55" s="2" t="s">
        <v>648</v>
      </c>
      <c r="H55" s="2" t="s">
        <v>649</v>
      </c>
    </row>
    <row r="56" spans="1:8" ht="24" customHeight="1">
      <c r="A56" s="2" t="s">
        <v>141</v>
      </c>
      <c r="B56" s="2" t="s">
        <v>755</v>
      </c>
      <c r="C56" s="2" t="s">
        <v>646</v>
      </c>
      <c r="D56" s="2" t="s">
        <v>756</v>
      </c>
      <c r="E56" s="2" t="s">
        <v>39</v>
      </c>
      <c r="F56" s="2" t="s">
        <v>480</v>
      </c>
      <c r="G56" s="2" t="s">
        <v>648</v>
      </c>
      <c r="H56" s="2" t="s">
        <v>649</v>
      </c>
    </row>
    <row r="57" spans="1:8" ht="24" customHeight="1">
      <c r="A57" s="2" t="s">
        <v>141</v>
      </c>
      <c r="B57" s="2" t="s">
        <v>757</v>
      </c>
      <c r="C57" s="2" t="s">
        <v>646</v>
      </c>
      <c r="D57" s="2" t="s">
        <v>758</v>
      </c>
      <c r="E57" s="2" t="s">
        <v>39</v>
      </c>
      <c r="F57" s="2" t="s">
        <v>480</v>
      </c>
      <c r="G57" s="2" t="s">
        <v>648</v>
      </c>
      <c r="H57" s="2" t="s">
        <v>649</v>
      </c>
    </row>
    <row r="58" spans="1:8" ht="24" customHeight="1">
      <c r="A58" s="2" t="s">
        <v>141</v>
      </c>
      <c r="B58" s="2" t="s">
        <v>759</v>
      </c>
      <c r="C58" s="2" t="s">
        <v>646</v>
      </c>
      <c r="D58" s="2" t="s">
        <v>760</v>
      </c>
      <c r="E58" s="2" t="s">
        <v>39</v>
      </c>
      <c r="F58" s="2" t="s">
        <v>480</v>
      </c>
      <c r="G58" s="2" t="s">
        <v>648</v>
      </c>
      <c r="H58" s="2" t="s">
        <v>649</v>
      </c>
    </row>
    <row r="59" spans="1:8" ht="24" customHeight="1">
      <c r="A59" s="2" t="s">
        <v>141</v>
      </c>
      <c r="B59" s="2" t="s">
        <v>761</v>
      </c>
      <c r="C59" s="2" t="s">
        <v>655</v>
      </c>
      <c r="D59" s="2" t="s">
        <v>656</v>
      </c>
      <c r="E59" s="2" t="s">
        <v>40</v>
      </c>
      <c r="F59" s="2" t="s">
        <v>480</v>
      </c>
      <c r="G59" s="2" t="s">
        <v>648</v>
      </c>
      <c r="H59" s="2" t="s">
        <v>649</v>
      </c>
    </row>
    <row r="60" spans="1:8" ht="24" customHeight="1">
      <c r="A60" s="2" t="s">
        <v>143</v>
      </c>
      <c r="B60" s="2" t="s">
        <v>762</v>
      </c>
      <c r="C60" s="2" t="s">
        <v>646</v>
      </c>
      <c r="D60" s="2" t="s">
        <v>763</v>
      </c>
      <c r="E60" s="2" t="s">
        <v>39</v>
      </c>
      <c r="F60" s="2" t="s">
        <v>483</v>
      </c>
      <c r="G60" s="2" t="s">
        <v>706</v>
      </c>
      <c r="H60" s="2" t="s">
        <v>649</v>
      </c>
    </row>
    <row r="61" spans="1:8" ht="24" customHeight="1">
      <c r="A61" s="2" t="s">
        <v>143</v>
      </c>
      <c r="B61" s="2" t="s">
        <v>764</v>
      </c>
      <c r="C61" s="2" t="s">
        <v>646</v>
      </c>
      <c r="D61" s="2" t="s">
        <v>765</v>
      </c>
      <c r="E61" s="2" t="s">
        <v>39</v>
      </c>
      <c r="F61" s="2" t="s">
        <v>483</v>
      </c>
      <c r="G61" s="2" t="s">
        <v>706</v>
      </c>
      <c r="H61" s="2" t="s">
        <v>649</v>
      </c>
    </row>
    <row r="62" spans="1:8" ht="24" customHeight="1">
      <c r="A62" s="2" t="s">
        <v>143</v>
      </c>
      <c r="B62" s="2" t="s">
        <v>766</v>
      </c>
      <c r="C62" s="2" t="s">
        <v>655</v>
      </c>
      <c r="D62" s="2" t="s">
        <v>767</v>
      </c>
      <c r="E62" s="2" t="s">
        <v>40</v>
      </c>
      <c r="F62" s="2" t="s">
        <v>483</v>
      </c>
      <c r="G62" s="2" t="s">
        <v>706</v>
      </c>
      <c r="H62" s="2" t="s">
        <v>649</v>
      </c>
    </row>
    <row r="63" spans="1:8" ht="24" customHeight="1">
      <c r="A63" s="2" t="s">
        <v>146</v>
      </c>
      <c r="B63" s="2" t="s">
        <v>768</v>
      </c>
      <c r="C63" s="2" t="s">
        <v>646</v>
      </c>
      <c r="D63" s="2" t="s">
        <v>769</v>
      </c>
      <c r="E63" s="2" t="s">
        <v>39</v>
      </c>
      <c r="F63" s="2" t="s">
        <v>770</v>
      </c>
      <c r="G63" s="2" t="s">
        <v>648</v>
      </c>
      <c r="H63" s="2" t="s">
        <v>649</v>
      </c>
    </row>
    <row r="64" spans="1:8" ht="24" customHeight="1">
      <c r="A64" s="2" t="s">
        <v>146</v>
      </c>
      <c r="B64" s="2" t="s">
        <v>771</v>
      </c>
      <c r="C64" s="2" t="s">
        <v>646</v>
      </c>
      <c r="D64" s="2" t="s">
        <v>772</v>
      </c>
      <c r="E64" s="2" t="s">
        <v>39</v>
      </c>
      <c r="F64" s="2" t="s">
        <v>770</v>
      </c>
      <c r="G64" s="2" t="s">
        <v>648</v>
      </c>
      <c r="H64" s="2" t="s">
        <v>649</v>
      </c>
    </row>
    <row r="65" spans="1:8" ht="24" customHeight="1">
      <c r="A65" s="2" t="s">
        <v>146</v>
      </c>
      <c r="B65" s="2" t="s">
        <v>773</v>
      </c>
      <c r="C65" s="2" t="s">
        <v>646</v>
      </c>
      <c r="D65" s="2" t="s">
        <v>774</v>
      </c>
      <c r="E65" s="2" t="s">
        <v>39</v>
      </c>
      <c r="F65" s="2" t="s">
        <v>770</v>
      </c>
      <c r="G65" s="2" t="s">
        <v>648</v>
      </c>
      <c r="H65" s="2" t="s">
        <v>649</v>
      </c>
    </row>
    <row r="66" spans="1:8">
      <c r="A66" s="2" t="s">
        <v>146</v>
      </c>
      <c r="B66" s="2" t="s">
        <v>775</v>
      </c>
      <c r="C66" s="2" t="s">
        <v>655</v>
      </c>
      <c r="D66" s="2" t="s">
        <v>776</v>
      </c>
      <c r="E66" s="2" t="s">
        <v>40</v>
      </c>
      <c r="F66" s="2" t="s">
        <v>770</v>
      </c>
      <c r="G66" s="2" t="s">
        <v>648</v>
      </c>
      <c r="H66" s="2" t="s">
        <v>649</v>
      </c>
    </row>
    <row r="67" spans="1:8">
      <c r="A67" s="2" t="s">
        <v>149</v>
      </c>
      <c r="B67" s="2" t="s">
        <v>777</v>
      </c>
      <c r="C67" s="2" t="s">
        <v>646</v>
      </c>
      <c r="D67" s="2" t="s">
        <v>324</v>
      </c>
      <c r="E67" s="2" t="s">
        <v>39</v>
      </c>
      <c r="F67" s="2" t="s">
        <v>491</v>
      </c>
      <c r="G67" s="2" t="s">
        <v>648</v>
      </c>
      <c r="H67" s="2" t="s">
        <v>649</v>
      </c>
    </row>
    <row r="68" spans="1:8">
      <c r="A68" s="2" t="s">
        <v>149</v>
      </c>
      <c r="B68" s="2" t="s">
        <v>778</v>
      </c>
      <c r="C68" s="2" t="s">
        <v>655</v>
      </c>
      <c r="D68" s="2" t="s">
        <v>656</v>
      </c>
      <c r="E68" s="2" t="s">
        <v>40</v>
      </c>
      <c r="F68" s="2" t="s">
        <v>491</v>
      </c>
      <c r="G68" s="2" t="s">
        <v>648</v>
      </c>
      <c r="H68" s="2" t="s">
        <v>649</v>
      </c>
    </row>
    <row r="69" spans="1:8">
      <c r="A69" s="2" t="s">
        <v>152</v>
      </c>
      <c r="B69" s="2" t="s">
        <v>779</v>
      </c>
      <c r="C69" s="2" t="s">
        <v>646</v>
      </c>
      <c r="D69" s="2" t="s">
        <v>780</v>
      </c>
      <c r="E69" s="2" t="s">
        <v>39</v>
      </c>
      <c r="F69" s="2" t="s">
        <v>781</v>
      </c>
      <c r="G69" s="2" t="s">
        <v>648</v>
      </c>
      <c r="H69" s="2" t="s">
        <v>649</v>
      </c>
    </row>
    <row r="70" spans="1:8">
      <c r="A70" s="2" t="s">
        <v>152</v>
      </c>
      <c r="B70" s="2" t="s">
        <v>782</v>
      </c>
      <c r="C70" s="2" t="s">
        <v>646</v>
      </c>
      <c r="D70" s="2" t="s">
        <v>783</v>
      </c>
      <c r="E70" s="2" t="s">
        <v>39</v>
      </c>
      <c r="F70" s="2" t="s">
        <v>781</v>
      </c>
      <c r="G70" s="2" t="s">
        <v>648</v>
      </c>
      <c r="H70" s="2" t="s">
        <v>649</v>
      </c>
    </row>
    <row r="71" spans="1:8">
      <c r="A71" s="2" t="s">
        <v>152</v>
      </c>
      <c r="B71" s="2" t="s">
        <v>784</v>
      </c>
      <c r="C71" s="2" t="s">
        <v>646</v>
      </c>
      <c r="D71" s="2" t="s">
        <v>785</v>
      </c>
      <c r="E71" s="2" t="s">
        <v>39</v>
      </c>
      <c r="F71" s="2" t="s">
        <v>781</v>
      </c>
      <c r="G71" s="2" t="s">
        <v>648</v>
      </c>
      <c r="H71" s="2" t="s">
        <v>649</v>
      </c>
    </row>
    <row r="72" spans="1:8">
      <c r="A72" s="2" t="s">
        <v>152</v>
      </c>
      <c r="B72" s="2" t="s">
        <v>786</v>
      </c>
      <c r="C72" s="2" t="s">
        <v>646</v>
      </c>
      <c r="D72" s="2" t="s">
        <v>787</v>
      </c>
      <c r="E72" s="2" t="s">
        <v>39</v>
      </c>
      <c r="F72" s="2" t="s">
        <v>781</v>
      </c>
      <c r="G72" s="2" t="s">
        <v>648</v>
      </c>
      <c r="H72" s="2" t="s">
        <v>649</v>
      </c>
    </row>
    <row r="73" spans="1:8">
      <c r="A73" s="2" t="s">
        <v>152</v>
      </c>
      <c r="B73" s="2" t="s">
        <v>788</v>
      </c>
      <c r="C73" s="2" t="s">
        <v>655</v>
      </c>
      <c r="D73" s="2" t="s">
        <v>789</v>
      </c>
      <c r="E73" s="2" t="s">
        <v>40</v>
      </c>
      <c r="F73" s="2" t="s">
        <v>781</v>
      </c>
      <c r="G73" s="2" t="s">
        <v>648</v>
      </c>
      <c r="H73" s="2" t="s">
        <v>649</v>
      </c>
    </row>
    <row r="74" spans="1:8">
      <c r="A74" s="2" t="s">
        <v>155</v>
      </c>
      <c r="B74" s="2" t="s">
        <v>790</v>
      </c>
      <c r="C74" s="2" t="s">
        <v>646</v>
      </c>
      <c r="D74" s="2" t="s">
        <v>791</v>
      </c>
      <c r="E74" s="2" t="s">
        <v>39</v>
      </c>
      <c r="F74" s="2" t="s">
        <v>499</v>
      </c>
      <c r="G74" s="2" t="s">
        <v>706</v>
      </c>
      <c r="H74" s="2" t="s">
        <v>649</v>
      </c>
    </row>
    <row r="75" spans="1:8">
      <c r="A75" s="2" t="s">
        <v>155</v>
      </c>
      <c r="B75" s="2" t="s">
        <v>792</v>
      </c>
      <c r="C75" s="2" t="s">
        <v>646</v>
      </c>
      <c r="D75" s="2" t="s">
        <v>793</v>
      </c>
      <c r="E75" s="2" t="s">
        <v>39</v>
      </c>
      <c r="F75" s="2" t="s">
        <v>499</v>
      </c>
      <c r="G75" s="2" t="s">
        <v>706</v>
      </c>
      <c r="H75" s="2" t="s">
        <v>649</v>
      </c>
    </row>
    <row r="76" spans="1:8">
      <c r="A76" s="2" t="s">
        <v>155</v>
      </c>
      <c r="B76" s="2" t="s">
        <v>794</v>
      </c>
      <c r="C76" s="2" t="s">
        <v>646</v>
      </c>
      <c r="D76" s="2" t="s">
        <v>795</v>
      </c>
      <c r="E76" s="2" t="s">
        <v>39</v>
      </c>
      <c r="F76" s="2" t="s">
        <v>499</v>
      </c>
      <c r="G76" s="2" t="s">
        <v>706</v>
      </c>
      <c r="H76" s="2" t="s">
        <v>649</v>
      </c>
    </row>
    <row r="77" spans="1:8">
      <c r="A77" s="2" t="s">
        <v>155</v>
      </c>
      <c r="B77" s="2" t="s">
        <v>796</v>
      </c>
      <c r="C77" s="2" t="s">
        <v>655</v>
      </c>
      <c r="D77" s="2" t="s">
        <v>797</v>
      </c>
      <c r="E77" s="2" t="s">
        <v>40</v>
      </c>
      <c r="F77" s="2" t="s">
        <v>499</v>
      </c>
      <c r="G77" s="2" t="s">
        <v>706</v>
      </c>
      <c r="H77" s="2" t="s">
        <v>649</v>
      </c>
    </row>
    <row r="78" spans="1:8">
      <c r="A78" s="2" t="s">
        <v>159</v>
      </c>
      <c r="B78" s="2" t="s">
        <v>798</v>
      </c>
      <c r="C78" s="2" t="s">
        <v>646</v>
      </c>
      <c r="D78" s="2" t="s">
        <v>799</v>
      </c>
      <c r="E78" s="2" t="s">
        <v>39</v>
      </c>
      <c r="F78" s="2" t="s">
        <v>502</v>
      </c>
      <c r="G78" s="2" t="s">
        <v>648</v>
      </c>
      <c r="H78" s="2" t="s">
        <v>649</v>
      </c>
    </row>
    <row r="79" spans="1:8">
      <c r="A79" s="2" t="s">
        <v>159</v>
      </c>
      <c r="B79" s="2" t="s">
        <v>800</v>
      </c>
      <c r="C79" s="2" t="s">
        <v>646</v>
      </c>
      <c r="D79" s="2" t="s">
        <v>801</v>
      </c>
      <c r="E79" s="2" t="s">
        <v>39</v>
      </c>
      <c r="F79" s="2" t="s">
        <v>502</v>
      </c>
      <c r="G79" s="2" t="s">
        <v>648</v>
      </c>
      <c r="H79" s="2" t="s">
        <v>649</v>
      </c>
    </row>
    <row r="80" spans="1:8">
      <c r="A80" s="2" t="s">
        <v>159</v>
      </c>
      <c r="B80" s="2" t="s">
        <v>802</v>
      </c>
      <c r="C80" s="2" t="s">
        <v>655</v>
      </c>
      <c r="D80" s="2" t="s">
        <v>656</v>
      </c>
      <c r="E80" s="2" t="s">
        <v>40</v>
      </c>
      <c r="F80" s="2" t="s">
        <v>502</v>
      </c>
      <c r="G80" s="2" t="s">
        <v>648</v>
      </c>
      <c r="H80" s="2" t="s">
        <v>649</v>
      </c>
    </row>
    <row r="81" spans="1:8">
      <c r="A81" s="2" t="s">
        <v>162</v>
      </c>
      <c r="B81" s="2" t="s">
        <v>803</v>
      </c>
      <c r="C81" s="2" t="s">
        <v>646</v>
      </c>
      <c r="D81" s="2" t="s">
        <v>332</v>
      </c>
      <c r="E81" s="2" t="s">
        <v>39</v>
      </c>
      <c r="F81" s="2" t="s">
        <v>505</v>
      </c>
      <c r="G81" s="2" t="s">
        <v>648</v>
      </c>
      <c r="H81" s="2" t="s">
        <v>649</v>
      </c>
    </row>
    <row r="82" spans="1:8">
      <c r="A82" s="2" t="s">
        <v>162</v>
      </c>
      <c r="B82" s="2" t="s">
        <v>804</v>
      </c>
      <c r="C82" s="2" t="s">
        <v>655</v>
      </c>
      <c r="D82" s="2" t="s">
        <v>656</v>
      </c>
      <c r="E82" s="2" t="s">
        <v>40</v>
      </c>
      <c r="F82" s="2" t="s">
        <v>505</v>
      </c>
      <c r="G82" s="2" t="s">
        <v>648</v>
      </c>
      <c r="H82" s="2" t="s">
        <v>649</v>
      </c>
    </row>
    <row r="83" spans="1:8">
      <c r="A83" s="2" t="s">
        <v>165</v>
      </c>
      <c r="B83" s="2" t="s">
        <v>805</v>
      </c>
      <c r="C83" s="2" t="s">
        <v>646</v>
      </c>
      <c r="D83" s="2" t="s">
        <v>806</v>
      </c>
      <c r="E83" s="2" t="s">
        <v>39</v>
      </c>
      <c r="F83" s="2" t="s">
        <v>508</v>
      </c>
      <c r="G83" s="2" t="s">
        <v>648</v>
      </c>
      <c r="H83" s="2" t="s">
        <v>649</v>
      </c>
    </row>
    <row r="84" spans="1:8">
      <c r="A84" s="2" t="s">
        <v>165</v>
      </c>
      <c r="B84" s="2" t="s">
        <v>807</v>
      </c>
      <c r="C84" s="2" t="s">
        <v>646</v>
      </c>
      <c r="D84" s="2" t="s">
        <v>808</v>
      </c>
      <c r="E84" s="2" t="s">
        <v>39</v>
      </c>
      <c r="F84" s="2" t="s">
        <v>508</v>
      </c>
      <c r="G84" s="2" t="s">
        <v>648</v>
      </c>
      <c r="H84" s="2" t="s">
        <v>649</v>
      </c>
    </row>
    <row r="85" spans="1:8">
      <c r="A85" s="2" t="s">
        <v>165</v>
      </c>
      <c r="B85" s="2" t="s">
        <v>809</v>
      </c>
      <c r="C85" s="2" t="s">
        <v>646</v>
      </c>
      <c r="D85" s="2" t="s">
        <v>810</v>
      </c>
      <c r="E85" s="2" t="s">
        <v>39</v>
      </c>
      <c r="F85" s="2" t="s">
        <v>508</v>
      </c>
      <c r="G85" s="2" t="s">
        <v>648</v>
      </c>
      <c r="H85" s="2" t="s">
        <v>649</v>
      </c>
    </row>
    <row r="86" spans="1:8">
      <c r="A86" s="2" t="s">
        <v>165</v>
      </c>
      <c r="B86" s="2" t="s">
        <v>811</v>
      </c>
      <c r="C86" s="2" t="s">
        <v>655</v>
      </c>
      <c r="D86" s="2" t="s">
        <v>656</v>
      </c>
      <c r="E86" s="2" t="s">
        <v>40</v>
      </c>
      <c r="F86" s="2" t="s">
        <v>508</v>
      </c>
      <c r="G86" s="2" t="s">
        <v>648</v>
      </c>
      <c r="H86" s="2" t="s">
        <v>649</v>
      </c>
    </row>
    <row r="87" spans="1:8">
      <c r="A87" s="2" t="s">
        <v>167</v>
      </c>
      <c r="B87" s="2" t="s">
        <v>812</v>
      </c>
      <c r="C87" s="2" t="s">
        <v>646</v>
      </c>
      <c r="D87" s="2" t="s">
        <v>813</v>
      </c>
      <c r="E87" s="2" t="s">
        <v>39</v>
      </c>
      <c r="F87" s="2" t="s">
        <v>814</v>
      </c>
      <c r="G87" s="2" t="s">
        <v>706</v>
      </c>
      <c r="H87" s="2" t="s">
        <v>649</v>
      </c>
    </row>
    <row r="88" spans="1:8">
      <c r="A88" s="2" t="s">
        <v>167</v>
      </c>
      <c r="B88" s="2" t="s">
        <v>815</v>
      </c>
      <c r="C88" s="2" t="s">
        <v>646</v>
      </c>
      <c r="D88" s="2" t="s">
        <v>816</v>
      </c>
      <c r="E88" s="2" t="s">
        <v>39</v>
      </c>
      <c r="F88" s="2" t="s">
        <v>814</v>
      </c>
      <c r="G88" s="2" t="s">
        <v>706</v>
      </c>
      <c r="H88" s="2" t="s">
        <v>649</v>
      </c>
    </row>
    <row r="89" spans="1:8">
      <c r="A89" s="2" t="s">
        <v>167</v>
      </c>
      <c r="B89" s="2" t="s">
        <v>817</v>
      </c>
      <c r="C89" s="2" t="s">
        <v>646</v>
      </c>
      <c r="D89" s="2" t="s">
        <v>818</v>
      </c>
      <c r="E89" s="2" t="s">
        <v>39</v>
      </c>
      <c r="F89" s="2" t="s">
        <v>814</v>
      </c>
      <c r="G89" s="2" t="s">
        <v>706</v>
      </c>
      <c r="H89" s="2" t="s">
        <v>649</v>
      </c>
    </row>
    <row r="90" spans="1:8">
      <c r="A90" s="2" t="s">
        <v>167</v>
      </c>
      <c r="B90" s="2" t="s">
        <v>819</v>
      </c>
      <c r="C90" s="2" t="s">
        <v>655</v>
      </c>
      <c r="D90" s="2" t="s">
        <v>820</v>
      </c>
      <c r="E90" s="2" t="s">
        <v>40</v>
      </c>
      <c r="F90" s="2" t="s">
        <v>814</v>
      </c>
      <c r="G90" s="2" t="s">
        <v>706</v>
      </c>
      <c r="H90" s="2" t="s">
        <v>649</v>
      </c>
    </row>
    <row r="91" spans="1:8">
      <c r="A91" s="2" t="s">
        <v>170</v>
      </c>
      <c r="B91" s="2" t="s">
        <v>821</v>
      </c>
      <c r="C91" s="2" t="s">
        <v>646</v>
      </c>
      <c r="D91" s="2" t="s">
        <v>822</v>
      </c>
      <c r="E91" s="2" t="s">
        <v>39</v>
      </c>
      <c r="F91" s="2" t="s">
        <v>823</v>
      </c>
      <c r="G91" s="2" t="s">
        <v>706</v>
      </c>
      <c r="H91" s="2" t="s">
        <v>649</v>
      </c>
    </row>
    <row r="92" spans="1:8">
      <c r="A92" s="2" t="s">
        <v>170</v>
      </c>
      <c r="B92" s="2" t="s">
        <v>824</v>
      </c>
      <c r="C92" s="2" t="s">
        <v>646</v>
      </c>
      <c r="D92" s="2" t="s">
        <v>825</v>
      </c>
      <c r="E92" s="2" t="s">
        <v>39</v>
      </c>
      <c r="F92" s="2" t="s">
        <v>823</v>
      </c>
      <c r="G92" s="2" t="s">
        <v>706</v>
      </c>
      <c r="H92" s="2" t="s">
        <v>649</v>
      </c>
    </row>
    <row r="93" spans="1:8">
      <c r="A93" s="2" t="s">
        <v>170</v>
      </c>
      <c r="B93" s="2" t="s">
        <v>826</v>
      </c>
      <c r="C93" s="2" t="s">
        <v>646</v>
      </c>
      <c r="D93" s="2" t="s">
        <v>827</v>
      </c>
      <c r="E93" s="2" t="s">
        <v>39</v>
      </c>
      <c r="F93" s="2" t="s">
        <v>823</v>
      </c>
      <c r="G93" s="2" t="s">
        <v>706</v>
      </c>
      <c r="H93" s="2" t="s">
        <v>649</v>
      </c>
    </row>
    <row r="94" spans="1:8">
      <c r="A94" s="2" t="s">
        <v>170</v>
      </c>
      <c r="B94" s="2" t="s">
        <v>828</v>
      </c>
      <c r="C94" s="2" t="s">
        <v>655</v>
      </c>
      <c r="D94" s="2" t="s">
        <v>829</v>
      </c>
      <c r="E94" s="2" t="s">
        <v>40</v>
      </c>
      <c r="F94" s="2" t="s">
        <v>823</v>
      </c>
      <c r="G94" s="2" t="s">
        <v>706</v>
      </c>
      <c r="H94" s="2" t="s">
        <v>649</v>
      </c>
    </row>
    <row r="95" spans="1:8">
      <c r="A95" s="2" t="s">
        <v>173</v>
      </c>
      <c r="B95" s="2" t="s">
        <v>830</v>
      </c>
      <c r="C95" s="2" t="s">
        <v>646</v>
      </c>
      <c r="D95" s="2" t="s">
        <v>831</v>
      </c>
      <c r="E95" s="2" t="s">
        <v>39</v>
      </c>
      <c r="F95" s="2" t="s">
        <v>521</v>
      </c>
      <c r="G95" s="2" t="s">
        <v>706</v>
      </c>
      <c r="H95" s="2" t="s">
        <v>649</v>
      </c>
    </row>
    <row r="96" spans="1:8">
      <c r="A96" s="2" t="s">
        <v>173</v>
      </c>
      <c r="B96" s="2" t="s">
        <v>832</v>
      </c>
      <c r="C96" s="2" t="s">
        <v>646</v>
      </c>
      <c r="D96" s="2" t="s">
        <v>833</v>
      </c>
      <c r="E96" s="2" t="s">
        <v>39</v>
      </c>
      <c r="F96" s="2" t="s">
        <v>521</v>
      </c>
      <c r="G96" s="2" t="s">
        <v>706</v>
      </c>
      <c r="H96" s="2" t="s">
        <v>649</v>
      </c>
    </row>
    <row r="97" spans="1:8">
      <c r="A97" s="2" t="s">
        <v>173</v>
      </c>
      <c r="B97" s="2" t="s">
        <v>834</v>
      </c>
      <c r="C97" s="2" t="s">
        <v>655</v>
      </c>
      <c r="D97" s="2" t="s">
        <v>656</v>
      </c>
      <c r="E97" s="2" t="s">
        <v>40</v>
      </c>
      <c r="F97" s="2" t="s">
        <v>521</v>
      </c>
      <c r="G97" s="2" t="s">
        <v>706</v>
      </c>
      <c r="H97" s="2" t="s">
        <v>649</v>
      </c>
    </row>
    <row r="98" spans="1:8">
      <c r="A98" s="2" t="s">
        <v>175</v>
      </c>
      <c r="B98" s="2" t="s">
        <v>835</v>
      </c>
      <c r="C98" s="2" t="s">
        <v>646</v>
      </c>
      <c r="D98" s="2" t="s">
        <v>836</v>
      </c>
      <c r="E98" s="2" t="s">
        <v>39</v>
      </c>
      <c r="F98" s="2" t="s">
        <v>524</v>
      </c>
      <c r="G98" s="2" t="s">
        <v>648</v>
      </c>
      <c r="H98" s="2" t="s">
        <v>649</v>
      </c>
    </row>
    <row r="99" spans="1:8">
      <c r="A99" s="2" t="s">
        <v>175</v>
      </c>
      <c r="B99" s="2" t="s">
        <v>837</v>
      </c>
      <c r="C99" s="2" t="s">
        <v>646</v>
      </c>
      <c r="D99" s="2" t="s">
        <v>838</v>
      </c>
      <c r="E99" s="2" t="s">
        <v>39</v>
      </c>
      <c r="F99" s="2" t="s">
        <v>524</v>
      </c>
      <c r="G99" s="2" t="s">
        <v>648</v>
      </c>
      <c r="H99" s="2" t="s">
        <v>649</v>
      </c>
    </row>
    <row r="100" spans="1:8">
      <c r="A100" s="2" t="s">
        <v>175</v>
      </c>
      <c r="B100" s="2" t="s">
        <v>839</v>
      </c>
      <c r="C100" s="2" t="s">
        <v>646</v>
      </c>
      <c r="D100" s="2" t="s">
        <v>840</v>
      </c>
      <c r="E100" s="2" t="s">
        <v>39</v>
      </c>
      <c r="F100" s="2" t="s">
        <v>524</v>
      </c>
      <c r="G100" s="2" t="s">
        <v>648</v>
      </c>
      <c r="H100" s="2" t="s">
        <v>649</v>
      </c>
    </row>
    <row r="101" spans="1:8">
      <c r="A101" s="2" t="s">
        <v>175</v>
      </c>
      <c r="B101" s="2" t="s">
        <v>841</v>
      </c>
      <c r="C101" s="2" t="s">
        <v>646</v>
      </c>
      <c r="D101" s="2" t="s">
        <v>842</v>
      </c>
      <c r="E101" s="2" t="s">
        <v>39</v>
      </c>
      <c r="F101" s="2" t="s">
        <v>524</v>
      </c>
      <c r="G101" s="2" t="s">
        <v>648</v>
      </c>
      <c r="H101" s="2" t="s">
        <v>649</v>
      </c>
    </row>
    <row r="102" spans="1:8">
      <c r="A102" s="2" t="s">
        <v>175</v>
      </c>
      <c r="B102" s="2" t="s">
        <v>843</v>
      </c>
      <c r="C102" s="2" t="s">
        <v>655</v>
      </c>
      <c r="D102" s="2" t="s">
        <v>656</v>
      </c>
      <c r="E102" s="2" t="s">
        <v>40</v>
      </c>
      <c r="F102" s="2" t="s">
        <v>524</v>
      </c>
      <c r="G102" s="2" t="s">
        <v>648</v>
      </c>
      <c r="H102" s="2" t="s">
        <v>649</v>
      </c>
    </row>
    <row r="103" spans="1:8">
      <c r="A103" s="2" t="s">
        <v>178</v>
      </c>
      <c r="B103" s="2" t="s">
        <v>844</v>
      </c>
      <c r="C103" s="2" t="s">
        <v>646</v>
      </c>
      <c r="D103" s="2" t="s">
        <v>845</v>
      </c>
      <c r="E103" s="2" t="s">
        <v>39</v>
      </c>
      <c r="F103" s="2" t="s">
        <v>846</v>
      </c>
      <c r="G103" s="2" t="s">
        <v>648</v>
      </c>
      <c r="H103" s="2" t="s">
        <v>649</v>
      </c>
    </row>
    <row r="104" spans="1:8">
      <c r="A104" s="2" t="s">
        <v>178</v>
      </c>
      <c r="B104" s="2" t="s">
        <v>847</v>
      </c>
      <c r="C104" s="2" t="s">
        <v>646</v>
      </c>
      <c r="D104" s="2" t="s">
        <v>848</v>
      </c>
      <c r="E104" s="2" t="s">
        <v>39</v>
      </c>
      <c r="F104" s="2" t="s">
        <v>846</v>
      </c>
      <c r="G104" s="2" t="s">
        <v>648</v>
      </c>
      <c r="H104" s="2" t="s">
        <v>649</v>
      </c>
    </row>
    <row r="105" spans="1:8">
      <c r="A105" s="2" t="s">
        <v>178</v>
      </c>
      <c r="B105" s="2" t="s">
        <v>849</v>
      </c>
      <c r="C105" s="2" t="s">
        <v>655</v>
      </c>
      <c r="D105" s="2" t="s">
        <v>850</v>
      </c>
      <c r="E105" s="2" t="s">
        <v>40</v>
      </c>
      <c r="F105" s="2" t="s">
        <v>846</v>
      </c>
      <c r="G105" s="2" t="s">
        <v>648</v>
      </c>
      <c r="H105" s="2" t="s">
        <v>649</v>
      </c>
    </row>
    <row r="106" spans="1:8">
      <c r="A106" s="2" t="s">
        <v>181</v>
      </c>
      <c r="B106" s="2" t="s">
        <v>851</v>
      </c>
      <c r="C106" s="2" t="s">
        <v>646</v>
      </c>
      <c r="D106" s="2" t="s">
        <v>852</v>
      </c>
      <c r="E106" s="2" t="s">
        <v>39</v>
      </c>
      <c r="F106" s="2" t="s">
        <v>853</v>
      </c>
      <c r="G106" s="2" t="s">
        <v>706</v>
      </c>
      <c r="H106" s="2" t="s">
        <v>649</v>
      </c>
    </row>
    <row r="107" spans="1:8">
      <c r="A107" s="2" t="s">
        <v>181</v>
      </c>
      <c r="B107" s="2" t="s">
        <v>854</v>
      </c>
      <c r="C107" s="2" t="s">
        <v>646</v>
      </c>
      <c r="D107" s="2" t="s">
        <v>855</v>
      </c>
      <c r="E107" s="2" t="s">
        <v>39</v>
      </c>
      <c r="F107" s="2" t="s">
        <v>853</v>
      </c>
      <c r="G107" s="2" t="s">
        <v>706</v>
      </c>
      <c r="H107" s="2" t="s">
        <v>649</v>
      </c>
    </row>
    <row r="108" spans="1:8">
      <c r="A108" s="2" t="s">
        <v>181</v>
      </c>
      <c r="B108" s="2" t="s">
        <v>856</v>
      </c>
      <c r="C108" s="2" t="s">
        <v>646</v>
      </c>
      <c r="D108" s="2" t="s">
        <v>857</v>
      </c>
      <c r="E108" s="2" t="s">
        <v>39</v>
      </c>
      <c r="F108" s="2" t="s">
        <v>853</v>
      </c>
      <c r="G108" s="2" t="s">
        <v>706</v>
      </c>
      <c r="H108" s="2" t="s">
        <v>649</v>
      </c>
    </row>
    <row r="109" spans="1:8">
      <c r="A109" s="2" t="s">
        <v>181</v>
      </c>
      <c r="B109" s="2" t="s">
        <v>858</v>
      </c>
      <c r="C109" s="2" t="s">
        <v>655</v>
      </c>
      <c r="D109" s="2" t="s">
        <v>859</v>
      </c>
      <c r="E109" s="2" t="s">
        <v>40</v>
      </c>
      <c r="F109" s="2" t="s">
        <v>853</v>
      </c>
      <c r="G109" s="2" t="s">
        <v>706</v>
      </c>
      <c r="H109" s="2" t="s">
        <v>649</v>
      </c>
    </row>
    <row r="110" spans="1:8">
      <c r="A110" s="2" t="s">
        <v>184</v>
      </c>
      <c r="B110" s="2" t="s">
        <v>860</v>
      </c>
      <c r="C110" s="2" t="s">
        <v>646</v>
      </c>
      <c r="D110" s="2" t="s">
        <v>861</v>
      </c>
      <c r="E110" s="2" t="s">
        <v>39</v>
      </c>
      <c r="F110" s="2" t="s">
        <v>537</v>
      </c>
      <c r="G110" s="2" t="s">
        <v>648</v>
      </c>
      <c r="H110" s="2" t="s">
        <v>649</v>
      </c>
    </row>
    <row r="111" spans="1:8">
      <c r="A111" s="2" t="s">
        <v>184</v>
      </c>
      <c r="B111" s="2" t="s">
        <v>862</v>
      </c>
      <c r="C111" s="2" t="s">
        <v>646</v>
      </c>
      <c r="D111" s="2" t="s">
        <v>863</v>
      </c>
      <c r="E111" s="2" t="s">
        <v>39</v>
      </c>
      <c r="F111" s="2" t="s">
        <v>537</v>
      </c>
      <c r="G111" s="2" t="s">
        <v>648</v>
      </c>
      <c r="H111" s="2" t="s">
        <v>649</v>
      </c>
    </row>
    <row r="112" spans="1:8">
      <c r="A112" s="2" t="s">
        <v>184</v>
      </c>
      <c r="B112" s="2" t="s">
        <v>864</v>
      </c>
      <c r="C112" s="2" t="s">
        <v>655</v>
      </c>
      <c r="D112" s="2" t="s">
        <v>656</v>
      </c>
      <c r="E112" s="2" t="s">
        <v>40</v>
      </c>
      <c r="F112" s="2" t="s">
        <v>537</v>
      </c>
      <c r="G112" s="2" t="s">
        <v>648</v>
      </c>
      <c r="H112" s="2" t="s">
        <v>649</v>
      </c>
    </row>
    <row r="113" spans="1:8">
      <c r="A113" s="2" t="s">
        <v>186</v>
      </c>
      <c r="B113" s="2" t="s">
        <v>865</v>
      </c>
      <c r="C113" s="2" t="s">
        <v>646</v>
      </c>
      <c r="D113" s="2" t="s">
        <v>866</v>
      </c>
      <c r="E113" s="2" t="s">
        <v>39</v>
      </c>
      <c r="F113" s="2" t="s">
        <v>540</v>
      </c>
      <c r="G113" s="2" t="s">
        <v>648</v>
      </c>
      <c r="H113" s="2" t="s">
        <v>649</v>
      </c>
    </row>
    <row r="114" spans="1:8">
      <c r="A114" s="2" t="s">
        <v>186</v>
      </c>
      <c r="B114" s="2" t="s">
        <v>867</v>
      </c>
      <c r="C114" s="2" t="s">
        <v>646</v>
      </c>
      <c r="D114" s="2" t="s">
        <v>868</v>
      </c>
      <c r="E114" s="2" t="s">
        <v>39</v>
      </c>
      <c r="F114" s="2" t="s">
        <v>540</v>
      </c>
      <c r="G114" s="2" t="s">
        <v>648</v>
      </c>
      <c r="H114" s="2" t="s">
        <v>649</v>
      </c>
    </row>
    <row r="115" spans="1:8">
      <c r="A115" s="2" t="s">
        <v>186</v>
      </c>
      <c r="B115" s="2" t="s">
        <v>869</v>
      </c>
      <c r="C115" s="2" t="s">
        <v>646</v>
      </c>
      <c r="D115" s="2" t="s">
        <v>870</v>
      </c>
      <c r="E115" s="2" t="s">
        <v>39</v>
      </c>
      <c r="F115" s="2" t="s">
        <v>540</v>
      </c>
      <c r="G115" s="2" t="s">
        <v>648</v>
      </c>
      <c r="H115" s="2" t="s">
        <v>649</v>
      </c>
    </row>
    <row r="116" spans="1:8">
      <c r="A116" s="2" t="s">
        <v>186</v>
      </c>
      <c r="B116" s="2" t="s">
        <v>871</v>
      </c>
      <c r="C116" s="2" t="s">
        <v>655</v>
      </c>
      <c r="D116" s="2" t="s">
        <v>656</v>
      </c>
      <c r="E116" s="2" t="s">
        <v>40</v>
      </c>
      <c r="F116" s="2" t="s">
        <v>540</v>
      </c>
      <c r="G116" s="2" t="s">
        <v>648</v>
      </c>
      <c r="H116" s="2" t="s">
        <v>649</v>
      </c>
    </row>
    <row r="117" spans="1:8">
      <c r="A117" s="2" t="s">
        <v>188</v>
      </c>
      <c r="B117" s="2" t="s">
        <v>872</v>
      </c>
      <c r="C117" s="2" t="s">
        <v>646</v>
      </c>
      <c r="D117" s="2" t="s">
        <v>873</v>
      </c>
      <c r="E117" s="2" t="s">
        <v>39</v>
      </c>
      <c r="F117" s="2" t="s">
        <v>543</v>
      </c>
      <c r="G117" s="2" t="s">
        <v>648</v>
      </c>
      <c r="H117" s="2" t="s">
        <v>649</v>
      </c>
    </row>
    <row r="118" spans="1:8">
      <c r="A118" s="2" t="s">
        <v>188</v>
      </c>
      <c r="B118" s="2" t="s">
        <v>874</v>
      </c>
      <c r="C118" s="2" t="s">
        <v>646</v>
      </c>
      <c r="D118" s="2" t="s">
        <v>875</v>
      </c>
      <c r="E118" s="2" t="s">
        <v>39</v>
      </c>
      <c r="F118" s="2" t="s">
        <v>543</v>
      </c>
      <c r="G118" s="2" t="s">
        <v>648</v>
      </c>
      <c r="H118" s="2" t="s">
        <v>649</v>
      </c>
    </row>
    <row r="119" spans="1:8">
      <c r="A119" s="2" t="s">
        <v>188</v>
      </c>
      <c r="B119" s="2" t="s">
        <v>876</v>
      </c>
      <c r="C119" s="2" t="s">
        <v>655</v>
      </c>
      <c r="D119" s="2" t="s">
        <v>656</v>
      </c>
      <c r="E119" s="2" t="s">
        <v>40</v>
      </c>
      <c r="F119" s="2" t="s">
        <v>543</v>
      </c>
      <c r="G119" s="2" t="s">
        <v>648</v>
      </c>
      <c r="H119" s="2" t="s">
        <v>649</v>
      </c>
    </row>
    <row r="120" spans="1:8">
      <c r="A120" s="2" t="s">
        <v>191</v>
      </c>
      <c r="B120" s="2" t="s">
        <v>877</v>
      </c>
      <c r="C120" s="2" t="s">
        <v>646</v>
      </c>
      <c r="D120" s="2" t="s">
        <v>358</v>
      </c>
      <c r="E120" s="2" t="s">
        <v>39</v>
      </c>
      <c r="F120" s="2" t="s">
        <v>546</v>
      </c>
      <c r="G120" s="2" t="s">
        <v>648</v>
      </c>
      <c r="H120" s="2" t="s">
        <v>649</v>
      </c>
    </row>
    <row r="121" spans="1:8">
      <c r="A121" s="2" t="s">
        <v>191</v>
      </c>
      <c r="B121" s="2" t="s">
        <v>878</v>
      </c>
      <c r="C121" s="2" t="s">
        <v>655</v>
      </c>
      <c r="D121" s="2" t="s">
        <v>656</v>
      </c>
      <c r="E121" s="2" t="s">
        <v>40</v>
      </c>
      <c r="F121" s="2" t="s">
        <v>546</v>
      </c>
      <c r="G121" s="2" t="s">
        <v>648</v>
      </c>
      <c r="H121" s="2" t="s">
        <v>649</v>
      </c>
    </row>
    <row r="122" spans="1:8">
      <c r="A122" s="2" t="s">
        <v>193</v>
      </c>
      <c r="B122" s="2" t="s">
        <v>879</v>
      </c>
      <c r="C122" s="2" t="s">
        <v>646</v>
      </c>
      <c r="D122" s="2" t="s">
        <v>360</v>
      </c>
      <c r="E122" s="2" t="s">
        <v>39</v>
      </c>
      <c r="F122" s="2" t="s">
        <v>549</v>
      </c>
      <c r="G122" s="2" t="s">
        <v>648</v>
      </c>
      <c r="H122" s="2" t="s">
        <v>649</v>
      </c>
    </row>
    <row r="123" spans="1:8">
      <c r="A123" s="2" t="s">
        <v>193</v>
      </c>
      <c r="B123" s="2" t="s">
        <v>880</v>
      </c>
      <c r="C123" s="2" t="s">
        <v>655</v>
      </c>
      <c r="D123" s="2" t="s">
        <v>656</v>
      </c>
      <c r="E123" s="2" t="s">
        <v>40</v>
      </c>
      <c r="F123" s="2" t="s">
        <v>549</v>
      </c>
      <c r="G123" s="2" t="s">
        <v>648</v>
      </c>
      <c r="H123" s="2" t="s">
        <v>649</v>
      </c>
    </row>
    <row r="124" spans="1:8">
      <c r="A124" s="2" t="s">
        <v>195</v>
      </c>
      <c r="B124" s="2" t="s">
        <v>881</v>
      </c>
      <c r="C124" s="2" t="s">
        <v>646</v>
      </c>
      <c r="D124" s="2" t="s">
        <v>362</v>
      </c>
      <c r="E124" s="2" t="s">
        <v>39</v>
      </c>
      <c r="F124" s="2" t="s">
        <v>882</v>
      </c>
      <c r="G124" s="2" t="s">
        <v>648</v>
      </c>
      <c r="H124" s="2" t="s">
        <v>649</v>
      </c>
    </row>
    <row r="125" spans="1:8">
      <c r="A125" s="2" t="s">
        <v>195</v>
      </c>
      <c r="B125" s="2" t="s">
        <v>883</v>
      </c>
      <c r="C125" s="2" t="s">
        <v>655</v>
      </c>
      <c r="D125" s="2" t="s">
        <v>884</v>
      </c>
      <c r="E125" s="2" t="s">
        <v>40</v>
      </c>
      <c r="F125" s="2" t="s">
        <v>882</v>
      </c>
      <c r="G125" s="2" t="s">
        <v>648</v>
      </c>
      <c r="H125" s="2" t="s">
        <v>649</v>
      </c>
    </row>
    <row r="126" spans="1:8">
      <c r="A126" s="2" t="s">
        <v>198</v>
      </c>
      <c r="B126" s="2" t="s">
        <v>885</v>
      </c>
      <c r="C126" s="2" t="s">
        <v>646</v>
      </c>
      <c r="D126" s="2" t="s">
        <v>886</v>
      </c>
      <c r="E126" s="2" t="s">
        <v>39</v>
      </c>
      <c r="F126" s="2" t="s">
        <v>556</v>
      </c>
      <c r="G126" s="2" t="s">
        <v>648</v>
      </c>
      <c r="H126" s="2" t="s">
        <v>649</v>
      </c>
    </row>
    <row r="127" spans="1:8">
      <c r="A127" s="2" t="s">
        <v>198</v>
      </c>
      <c r="B127" s="2" t="s">
        <v>887</v>
      </c>
      <c r="C127" s="2" t="s">
        <v>646</v>
      </c>
      <c r="D127" s="2" t="s">
        <v>888</v>
      </c>
      <c r="E127" s="2" t="s">
        <v>39</v>
      </c>
      <c r="F127" s="2" t="s">
        <v>556</v>
      </c>
      <c r="G127" s="2" t="s">
        <v>648</v>
      </c>
      <c r="H127" s="2" t="s">
        <v>649</v>
      </c>
    </row>
    <row r="128" spans="1:8">
      <c r="A128" s="2" t="s">
        <v>198</v>
      </c>
      <c r="B128" s="2" t="s">
        <v>889</v>
      </c>
      <c r="C128" s="2" t="s">
        <v>655</v>
      </c>
      <c r="D128" s="2" t="s">
        <v>656</v>
      </c>
      <c r="E128" s="2" t="s">
        <v>40</v>
      </c>
      <c r="F128" s="2" t="s">
        <v>556</v>
      </c>
      <c r="G128" s="2" t="s">
        <v>648</v>
      </c>
      <c r="H128" s="2" t="s">
        <v>649</v>
      </c>
    </row>
    <row r="129" spans="1:8">
      <c r="A129" s="2" t="s">
        <v>200</v>
      </c>
      <c r="B129" s="2" t="s">
        <v>890</v>
      </c>
      <c r="C129" s="2" t="s">
        <v>646</v>
      </c>
      <c r="D129" s="2" t="s">
        <v>891</v>
      </c>
      <c r="E129" s="2" t="s">
        <v>39</v>
      </c>
      <c r="F129" s="2" t="s">
        <v>558</v>
      </c>
      <c r="G129" s="2" t="s">
        <v>648</v>
      </c>
      <c r="H129" s="2" t="s">
        <v>649</v>
      </c>
    </row>
    <row r="130" spans="1:8">
      <c r="A130" s="2" t="s">
        <v>200</v>
      </c>
      <c r="B130" s="2" t="s">
        <v>892</v>
      </c>
      <c r="C130" s="2" t="s">
        <v>646</v>
      </c>
      <c r="D130" s="2" t="s">
        <v>893</v>
      </c>
      <c r="E130" s="2" t="s">
        <v>39</v>
      </c>
      <c r="F130" s="2" t="s">
        <v>558</v>
      </c>
      <c r="G130" s="2" t="s">
        <v>648</v>
      </c>
      <c r="H130" s="2" t="s">
        <v>649</v>
      </c>
    </row>
    <row r="131" spans="1:8">
      <c r="A131" s="2" t="s">
        <v>200</v>
      </c>
      <c r="B131" s="2" t="s">
        <v>894</v>
      </c>
      <c r="C131" s="2" t="s">
        <v>655</v>
      </c>
      <c r="D131" s="2" t="s">
        <v>656</v>
      </c>
      <c r="E131" s="2" t="s">
        <v>40</v>
      </c>
      <c r="F131" s="2" t="s">
        <v>558</v>
      </c>
      <c r="G131" s="2" t="s">
        <v>648</v>
      </c>
      <c r="H131" s="2" t="s">
        <v>649</v>
      </c>
    </row>
    <row r="132" spans="1:8">
      <c r="A132" s="2" t="s">
        <v>202</v>
      </c>
      <c r="B132" s="2" t="s">
        <v>895</v>
      </c>
      <c r="C132" s="2" t="s">
        <v>646</v>
      </c>
      <c r="D132" s="2" t="s">
        <v>896</v>
      </c>
      <c r="E132" s="2" t="s">
        <v>39</v>
      </c>
      <c r="F132" s="2" t="s">
        <v>561</v>
      </c>
      <c r="G132" s="2" t="s">
        <v>648</v>
      </c>
      <c r="H132" s="2" t="s">
        <v>649</v>
      </c>
    </row>
    <row r="133" spans="1:8">
      <c r="A133" s="2" t="s">
        <v>202</v>
      </c>
      <c r="B133" s="2" t="s">
        <v>897</v>
      </c>
      <c r="C133" s="2" t="s">
        <v>646</v>
      </c>
      <c r="D133" s="2" t="s">
        <v>898</v>
      </c>
      <c r="E133" s="2" t="s">
        <v>39</v>
      </c>
      <c r="F133" s="2" t="s">
        <v>561</v>
      </c>
      <c r="G133" s="2" t="s">
        <v>648</v>
      </c>
      <c r="H133" s="2" t="s">
        <v>649</v>
      </c>
    </row>
    <row r="134" spans="1:8">
      <c r="A134" s="2" t="s">
        <v>202</v>
      </c>
      <c r="B134" s="2" t="s">
        <v>899</v>
      </c>
      <c r="C134" s="2" t="s">
        <v>646</v>
      </c>
      <c r="D134" s="2" t="s">
        <v>900</v>
      </c>
      <c r="E134" s="2" t="s">
        <v>39</v>
      </c>
      <c r="F134" s="2" t="s">
        <v>561</v>
      </c>
      <c r="G134" s="2" t="s">
        <v>648</v>
      </c>
      <c r="H134" s="2" t="s">
        <v>649</v>
      </c>
    </row>
    <row r="135" spans="1:8">
      <c r="A135" s="2" t="s">
        <v>202</v>
      </c>
      <c r="B135" s="2" t="s">
        <v>901</v>
      </c>
      <c r="C135" s="2" t="s">
        <v>655</v>
      </c>
      <c r="D135" s="2" t="s">
        <v>656</v>
      </c>
      <c r="E135" s="2" t="s">
        <v>40</v>
      </c>
      <c r="F135" s="2" t="s">
        <v>561</v>
      </c>
      <c r="G135" s="2" t="s">
        <v>648</v>
      </c>
      <c r="H135" s="2" t="s">
        <v>649</v>
      </c>
    </row>
    <row r="136" spans="1:8">
      <c r="A136" s="2" t="s">
        <v>205</v>
      </c>
      <c r="B136" s="2" t="s">
        <v>902</v>
      </c>
      <c r="C136" s="2" t="s">
        <v>646</v>
      </c>
      <c r="D136" s="2" t="s">
        <v>903</v>
      </c>
      <c r="E136" s="2" t="s">
        <v>39</v>
      </c>
      <c r="F136" s="2" t="s">
        <v>564</v>
      </c>
      <c r="G136" s="2" t="s">
        <v>648</v>
      </c>
      <c r="H136" s="2" t="s">
        <v>649</v>
      </c>
    </row>
    <row r="137" spans="1:8">
      <c r="A137" s="2" t="s">
        <v>205</v>
      </c>
      <c r="B137" s="2" t="s">
        <v>904</v>
      </c>
      <c r="C137" s="2" t="s">
        <v>646</v>
      </c>
      <c r="D137" s="2" t="s">
        <v>905</v>
      </c>
      <c r="E137" s="2" t="s">
        <v>39</v>
      </c>
      <c r="F137" s="2" t="s">
        <v>564</v>
      </c>
      <c r="G137" s="2" t="s">
        <v>648</v>
      </c>
      <c r="H137" s="2" t="s">
        <v>649</v>
      </c>
    </row>
    <row r="138" spans="1:8">
      <c r="A138" s="2" t="s">
        <v>205</v>
      </c>
      <c r="B138" s="2" t="s">
        <v>906</v>
      </c>
      <c r="C138" s="2" t="s">
        <v>655</v>
      </c>
      <c r="D138" s="2" t="s">
        <v>656</v>
      </c>
      <c r="E138" s="2" t="s">
        <v>40</v>
      </c>
      <c r="F138" s="2" t="s">
        <v>564</v>
      </c>
      <c r="G138" s="2" t="s">
        <v>648</v>
      </c>
      <c r="H138" s="2" t="s">
        <v>649</v>
      </c>
    </row>
    <row r="139" spans="1:8">
      <c r="A139" s="2" t="s">
        <v>207</v>
      </c>
      <c r="B139" s="2" t="s">
        <v>907</v>
      </c>
      <c r="C139" s="2" t="s">
        <v>646</v>
      </c>
      <c r="D139" s="2" t="s">
        <v>908</v>
      </c>
      <c r="E139" s="2" t="s">
        <v>39</v>
      </c>
      <c r="F139" s="2" t="s">
        <v>909</v>
      </c>
      <c r="G139" s="2" t="s">
        <v>648</v>
      </c>
      <c r="H139" s="2" t="s">
        <v>649</v>
      </c>
    </row>
    <row r="140" spans="1:8">
      <c r="A140" s="2" t="s">
        <v>207</v>
      </c>
      <c r="B140" s="2" t="s">
        <v>910</v>
      </c>
      <c r="C140" s="2" t="s">
        <v>646</v>
      </c>
      <c r="D140" s="2" t="s">
        <v>911</v>
      </c>
      <c r="E140" s="2" t="s">
        <v>39</v>
      </c>
      <c r="F140" s="2" t="s">
        <v>909</v>
      </c>
      <c r="G140" s="2" t="s">
        <v>648</v>
      </c>
      <c r="H140" s="2" t="s">
        <v>649</v>
      </c>
    </row>
    <row r="141" spans="1:8">
      <c r="A141" s="2" t="s">
        <v>207</v>
      </c>
      <c r="B141" s="2" t="s">
        <v>912</v>
      </c>
      <c r="C141" s="2" t="s">
        <v>646</v>
      </c>
      <c r="D141" s="2" t="s">
        <v>913</v>
      </c>
      <c r="E141" s="2" t="s">
        <v>39</v>
      </c>
      <c r="F141" s="2" t="s">
        <v>909</v>
      </c>
      <c r="G141" s="2" t="s">
        <v>648</v>
      </c>
      <c r="H141" s="2" t="s">
        <v>649</v>
      </c>
    </row>
    <row r="142" spans="1:8">
      <c r="A142" s="2" t="s">
        <v>207</v>
      </c>
      <c r="B142" s="2" t="s">
        <v>914</v>
      </c>
      <c r="C142" s="2" t="s">
        <v>655</v>
      </c>
      <c r="D142" s="2" t="s">
        <v>915</v>
      </c>
      <c r="E142" s="2" t="s">
        <v>40</v>
      </c>
      <c r="F142" s="2" t="s">
        <v>909</v>
      </c>
      <c r="G142" s="2" t="s">
        <v>648</v>
      </c>
      <c r="H142" s="2" t="s">
        <v>649</v>
      </c>
    </row>
    <row r="143" spans="1:8">
      <c r="A143" s="2" t="s">
        <v>210</v>
      </c>
      <c r="B143" s="2" t="s">
        <v>916</v>
      </c>
      <c r="C143" s="2" t="s">
        <v>646</v>
      </c>
      <c r="D143" s="2" t="s">
        <v>917</v>
      </c>
      <c r="E143" s="2" t="s">
        <v>39</v>
      </c>
      <c r="F143" s="2" t="s">
        <v>572</v>
      </c>
      <c r="G143" s="2" t="s">
        <v>648</v>
      </c>
      <c r="H143" s="2" t="s">
        <v>649</v>
      </c>
    </row>
    <row r="144" spans="1:8">
      <c r="A144" s="2" t="s">
        <v>210</v>
      </c>
      <c r="B144" s="2" t="s">
        <v>918</v>
      </c>
      <c r="C144" s="2" t="s">
        <v>646</v>
      </c>
      <c r="D144" s="2" t="s">
        <v>919</v>
      </c>
      <c r="E144" s="2" t="s">
        <v>39</v>
      </c>
      <c r="F144" s="2" t="s">
        <v>572</v>
      </c>
      <c r="G144" s="2" t="s">
        <v>648</v>
      </c>
      <c r="H144" s="2" t="s">
        <v>649</v>
      </c>
    </row>
    <row r="145" spans="1:8">
      <c r="A145" s="2" t="s">
        <v>210</v>
      </c>
      <c r="B145" s="2" t="s">
        <v>920</v>
      </c>
      <c r="C145" s="2" t="s">
        <v>655</v>
      </c>
      <c r="D145" s="2" t="s">
        <v>656</v>
      </c>
      <c r="E145" s="2" t="s">
        <v>40</v>
      </c>
      <c r="F145" s="2" t="s">
        <v>572</v>
      </c>
      <c r="G145" s="2" t="s">
        <v>648</v>
      </c>
      <c r="H145" s="2" t="s">
        <v>649</v>
      </c>
    </row>
    <row r="146" spans="1:8">
      <c r="A146" s="2" t="s">
        <v>212</v>
      </c>
      <c r="B146" s="2" t="s">
        <v>921</v>
      </c>
      <c r="C146" s="2" t="s">
        <v>646</v>
      </c>
      <c r="D146" s="2" t="s">
        <v>922</v>
      </c>
      <c r="E146" s="2" t="s">
        <v>39</v>
      </c>
      <c r="F146" s="2" t="s">
        <v>575</v>
      </c>
      <c r="G146" s="2" t="s">
        <v>706</v>
      </c>
      <c r="H146" s="2" t="s">
        <v>649</v>
      </c>
    </row>
    <row r="147" spans="1:8">
      <c r="A147" s="2" t="s">
        <v>212</v>
      </c>
      <c r="B147" s="2" t="s">
        <v>923</v>
      </c>
      <c r="C147" s="2" t="s">
        <v>646</v>
      </c>
      <c r="D147" s="2" t="s">
        <v>924</v>
      </c>
      <c r="E147" s="2" t="s">
        <v>39</v>
      </c>
      <c r="F147" s="2" t="s">
        <v>575</v>
      </c>
      <c r="G147" s="2" t="s">
        <v>706</v>
      </c>
      <c r="H147" s="2" t="s">
        <v>649</v>
      </c>
    </row>
    <row r="148" spans="1:8">
      <c r="A148" s="2" t="s">
        <v>212</v>
      </c>
      <c r="B148" s="2" t="s">
        <v>925</v>
      </c>
      <c r="C148" s="2" t="s">
        <v>646</v>
      </c>
      <c r="D148" s="2" t="s">
        <v>926</v>
      </c>
      <c r="E148" s="2" t="s">
        <v>39</v>
      </c>
      <c r="F148" s="2" t="s">
        <v>575</v>
      </c>
      <c r="G148" s="2" t="s">
        <v>706</v>
      </c>
      <c r="H148" s="2" t="s">
        <v>649</v>
      </c>
    </row>
    <row r="149" spans="1:8">
      <c r="A149" s="2" t="s">
        <v>212</v>
      </c>
      <c r="B149" s="2" t="s">
        <v>927</v>
      </c>
      <c r="C149" s="2" t="s">
        <v>655</v>
      </c>
      <c r="D149" s="2" t="s">
        <v>928</v>
      </c>
      <c r="E149" s="2" t="s">
        <v>40</v>
      </c>
      <c r="F149" s="2" t="s">
        <v>575</v>
      </c>
      <c r="G149" s="2" t="s">
        <v>706</v>
      </c>
      <c r="H149" s="2" t="s">
        <v>649</v>
      </c>
    </row>
    <row r="150" spans="1:8">
      <c r="A150" s="2" t="s">
        <v>215</v>
      </c>
      <c r="B150" s="2" t="s">
        <v>929</v>
      </c>
      <c r="C150" s="2" t="s">
        <v>646</v>
      </c>
      <c r="D150" s="2" t="s">
        <v>930</v>
      </c>
      <c r="E150" s="2" t="s">
        <v>39</v>
      </c>
      <c r="F150" s="2" t="s">
        <v>578</v>
      </c>
      <c r="G150" s="2" t="s">
        <v>648</v>
      </c>
      <c r="H150" s="2" t="s">
        <v>649</v>
      </c>
    </row>
    <row r="151" spans="1:8">
      <c r="A151" s="2" t="s">
        <v>215</v>
      </c>
      <c r="B151" s="2" t="s">
        <v>931</v>
      </c>
      <c r="C151" s="2" t="s">
        <v>646</v>
      </c>
      <c r="D151" s="2" t="s">
        <v>932</v>
      </c>
      <c r="E151" s="2" t="s">
        <v>39</v>
      </c>
      <c r="F151" s="2" t="s">
        <v>578</v>
      </c>
      <c r="G151" s="2" t="s">
        <v>648</v>
      </c>
      <c r="H151" s="2" t="s">
        <v>649</v>
      </c>
    </row>
    <row r="152" spans="1:8">
      <c r="A152" s="2" t="s">
        <v>215</v>
      </c>
      <c r="B152" s="2" t="s">
        <v>933</v>
      </c>
      <c r="C152" s="2" t="s">
        <v>646</v>
      </c>
      <c r="D152" s="2" t="s">
        <v>934</v>
      </c>
      <c r="E152" s="2" t="s">
        <v>39</v>
      </c>
      <c r="F152" s="2" t="s">
        <v>578</v>
      </c>
      <c r="G152" s="2" t="s">
        <v>648</v>
      </c>
      <c r="H152" s="2" t="s">
        <v>649</v>
      </c>
    </row>
    <row r="153" spans="1:8">
      <c r="A153" s="2" t="s">
        <v>215</v>
      </c>
      <c r="B153" s="2" t="s">
        <v>935</v>
      </c>
      <c r="C153" s="2" t="s">
        <v>646</v>
      </c>
      <c r="D153" s="2" t="s">
        <v>936</v>
      </c>
      <c r="E153" s="2" t="s">
        <v>39</v>
      </c>
      <c r="F153" s="2" t="s">
        <v>578</v>
      </c>
      <c r="G153" s="2" t="s">
        <v>648</v>
      </c>
      <c r="H153" s="2" t="s">
        <v>649</v>
      </c>
    </row>
    <row r="154" spans="1:8">
      <c r="A154" s="2" t="s">
        <v>215</v>
      </c>
      <c r="B154" s="2" t="s">
        <v>937</v>
      </c>
      <c r="C154" s="2" t="s">
        <v>646</v>
      </c>
      <c r="D154" s="2" t="s">
        <v>938</v>
      </c>
      <c r="E154" s="2" t="s">
        <v>39</v>
      </c>
      <c r="F154" s="2" t="s">
        <v>578</v>
      </c>
      <c r="G154" s="2" t="s">
        <v>648</v>
      </c>
      <c r="H154" s="2" t="s">
        <v>649</v>
      </c>
    </row>
    <row r="155" spans="1:8">
      <c r="A155" s="2" t="s">
        <v>215</v>
      </c>
      <c r="B155" s="2" t="s">
        <v>939</v>
      </c>
      <c r="C155" s="2" t="s">
        <v>646</v>
      </c>
      <c r="D155" s="2" t="s">
        <v>940</v>
      </c>
      <c r="E155" s="2" t="s">
        <v>39</v>
      </c>
      <c r="F155" s="2" t="s">
        <v>578</v>
      </c>
      <c r="G155" s="2" t="s">
        <v>648</v>
      </c>
      <c r="H155" s="2" t="s">
        <v>649</v>
      </c>
    </row>
    <row r="156" spans="1:8">
      <c r="A156" s="2" t="s">
        <v>215</v>
      </c>
      <c r="B156" s="2" t="s">
        <v>941</v>
      </c>
      <c r="C156" s="2" t="s">
        <v>655</v>
      </c>
      <c r="D156" s="2" t="s">
        <v>656</v>
      </c>
      <c r="E156" s="2" t="s">
        <v>40</v>
      </c>
      <c r="F156" s="2" t="s">
        <v>578</v>
      </c>
      <c r="G156" s="2" t="s">
        <v>648</v>
      </c>
      <c r="H156" s="2" t="s">
        <v>649</v>
      </c>
    </row>
    <row r="157" spans="1:8">
      <c r="A157" s="2" t="s">
        <v>217</v>
      </c>
      <c r="B157" s="2" t="s">
        <v>942</v>
      </c>
      <c r="C157" s="2" t="s">
        <v>646</v>
      </c>
      <c r="D157" s="2" t="s">
        <v>943</v>
      </c>
      <c r="E157" s="2" t="s">
        <v>39</v>
      </c>
      <c r="F157" s="2" t="s">
        <v>581</v>
      </c>
      <c r="G157" s="2" t="s">
        <v>648</v>
      </c>
      <c r="H157" s="2" t="s">
        <v>649</v>
      </c>
    </row>
    <row r="158" spans="1:8">
      <c r="A158" s="2" t="s">
        <v>217</v>
      </c>
      <c r="B158" s="2" t="s">
        <v>944</v>
      </c>
      <c r="C158" s="2" t="s">
        <v>646</v>
      </c>
      <c r="D158" s="2" t="s">
        <v>945</v>
      </c>
      <c r="E158" s="2" t="s">
        <v>39</v>
      </c>
      <c r="F158" s="2" t="s">
        <v>581</v>
      </c>
      <c r="G158" s="2" t="s">
        <v>648</v>
      </c>
      <c r="H158" s="2" t="s">
        <v>649</v>
      </c>
    </row>
    <row r="159" spans="1:8">
      <c r="A159" s="2" t="s">
        <v>217</v>
      </c>
      <c r="B159" s="2" t="s">
        <v>946</v>
      </c>
      <c r="C159" s="2" t="s">
        <v>655</v>
      </c>
      <c r="D159" s="2" t="s">
        <v>656</v>
      </c>
      <c r="E159" s="2" t="s">
        <v>40</v>
      </c>
      <c r="F159" s="2" t="s">
        <v>581</v>
      </c>
      <c r="G159" s="2" t="s">
        <v>648</v>
      </c>
      <c r="H159" s="2" t="s">
        <v>649</v>
      </c>
    </row>
    <row r="160" spans="1:8">
      <c r="A160" s="2" t="s">
        <v>219</v>
      </c>
      <c r="B160" s="2" t="s">
        <v>947</v>
      </c>
      <c r="C160" s="2" t="s">
        <v>646</v>
      </c>
      <c r="D160" s="2" t="s">
        <v>384</v>
      </c>
      <c r="E160" s="2" t="s">
        <v>39</v>
      </c>
      <c r="F160" s="2" t="s">
        <v>948</v>
      </c>
      <c r="G160" s="2" t="s">
        <v>648</v>
      </c>
      <c r="H160" s="2" t="s">
        <v>649</v>
      </c>
    </row>
    <row r="161" spans="1:8">
      <c r="A161" s="2" t="s">
        <v>219</v>
      </c>
      <c r="B161" s="2" t="s">
        <v>949</v>
      </c>
      <c r="C161" s="2" t="s">
        <v>655</v>
      </c>
      <c r="D161" s="2" t="s">
        <v>950</v>
      </c>
      <c r="E161" s="2" t="s">
        <v>40</v>
      </c>
      <c r="F161" s="2" t="s">
        <v>948</v>
      </c>
      <c r="G161" s="2" t="s">
        <v>648</v>
      </c>
      <c r="H161" s="2" t="s">
        <v>649</v>
      </c>
    </row>
    <row r="162" spans="1:8">
      <c r="A162" s="2" t="s">
        <v>222</v>
      </c>
      <c r="B162" s="2" t="s">
        <v>951</v>
      </c>
      <c r="C162" s="2" t="s">
        <v>646</v>
      </c>
      <c r="D162" s="2" t="s">
        <v>952</v>
      </c>
      <c r="E162" s="2" t="s">
        <v>39</v>
      </c>
      <c r="F162" s="2" t="s">
        <v>589</v>
      </c>
      <c r="G162" s="2" t="s">
        <v>648</v>
      </c>
      <c r="H162" s="2" t="s">
        <v>649</v>
      </c>
    </row>
    <row r="163" spans="1:8">
      <c r="A163" s="2" t="s">
        <v>222</v>
      </c>
      <c r="B163" s="2" t="s">
        <v>953</v>
      </c>
      <c r="C163" s="2" t="s">
        <v>646</v>
      </c>
      <c r="D163" s="2" t="s">
        <v>954</v>
      </c>
      <c r="E163" s="2" t="s">
        <v>39</v>
      </c>
      <c r="F163" s="2" t="s">
        <v>589</v>
      </c>
      <c r="G163" s="2" t="s">
        <v>648</v>
      </c>
      <c r="H163" s="2" t="s">
        <v>649</v>
      </c>
    </row>
    <row r="164" spans="1:8">
      <c r="A164" s="2" t="s">
        <v>222</v>
      </c>
      <c r="B164" s="2" t="s">
        <v>955</v>
      </c>
      <c r="C164" s="2" t="s">
        <v>655</v>
      </c>
      <c r="D164" s="2" t="s">
        <v>656</v>
      </c>
      <c r="E164" s="2" t="s">
        <v>40</v>
      </c>
      <c r="F164" s="2" t="s">
        <v>589</v>
      </c>
      <c r="G164" s="2" t="s">
        <v>648</v>
      </c>
      <c r="H164" s="2" t="s">
        <v>649</v>
      </c>
    </row>
    <row r="165" spans="1:8">
      <c r="A165" s="2" t="s">
        <v>224</v>
      </c>
      <c r="B165" s="2" t="s">
        <v>956</v>
      </c>
      <c r="C165" s="2" t="s">
        <v>646</v>
      </c>
      <c r="D165" s="2" t="s">
        <v>957</v>
      </c>
      <c r="E165" s="2" t="s">
        <v>39</v>
      </c>
      <c r="F165" s="2" t="s">
        <v>592</v>
      </c>
      <c r="G165" s="2" t="s">
        <v>706</v>
      </c>
      <c r="H165" s="2" t="s">
        <v>649</v>
      </c>
    </row>
    <row r="166" spans="1:8">
      <c r="A166" s="2" t="s">
        <v>224</v>
      </c>
      <c r="B166" s="2" t="s">
        <v>958</v>
      </c>
      <c r="C166" s="2" t="s">
        <v>646</v>
      </c>
      <c r="D166" s="2" t="s">
        <v>959</v>
      </c>
      <c r="E166" s="2" t="s">
        <v>39</v>
      </c>
      <c r="F166" s="2" t="s">
        <v>592</v>
      </c>
      <c r="G166" s="2" t="s">
        <v>706</v>
      </c>
      <c r="H166" s="2" t="s">
        <v>649</v>
      </c>
    </row>
    <row r="167" spans="1:8">
      <c r="A167" s="2" t="s">
        <v>224</v>
      </c>
      <c r="B167" s="2" t="s">
        <v>960</v>
      </c>
      <c r="C167" s="2" t="s">
        <v>646</v>
      </c>
      <c r="D167" s="2" t="s">
        <v>961</v>
      </c>
      <c r="E167" s="2" t="s">
        <v>39</v>
      </c>
      <c r="F167" s="2" t="s">
        <v>592</v>
      </c>
      <c r="G167" s="2" t="s">
        <v>706</v>
      </c>
      <c r="H167" s="2" t="s">
        <v>649</v>
      </c>
    </row>
    <row r="168" spans="1:8">
      <c r="A168" s="2" t="s">
        <v>224</v>
      </c>
      <c r="B168" s="2" t="s">
        <v>962</v>
      </c>
      <c r="C168" s="2" t="s">
        <v>646</v>
      </c>
      <c r="D168" s="2" t="s">
        <v>963</v>
      </c>
      <c r="E168" s="2" t="s">
        <v>39</v>
      </c>
      <c r="F168" s="2" t="s">
        <v>592</v>
      </c>
      <c r="G168" s="2" t="s">
        <v>706</v>
      </c>
      <c r="H168" s="2" t="s">
        <v>649</v>
      </c>
    </row>
    <row r="169" spans="1:8">
      <c r="A169" s="2" t="s">
        <v>224</v>
      </c>
      <c r="B169" s="2" t="s">
        <v>964</v>
      </c>
      <c r="C169" s="2" t="s">
        <v>655</v>
      </c>
      <c r="D169" s="2" t="s">
        <v>965</v>
      </c>
      <c r="E169" s="2" t="s">
        <v>40</v>
      </c>
      <c r="F169" s="2" t="s">
        <v>592</v>
      </c>
      <c r="G169" s="2" t="s">
        <v>706</v>
      </c>
      <c r="H169" s="2" t="s">
        <v>649</v>
      </c>
    </row>
    <row r="170" spans="1:8">
      <c r="A170" s="2" t="s">
        <v>226</v>
      </c>
      <c r="B170" s="2" t="s">
        <v>966</v>
      </c>
      <c r="C170" s="2" t="s">
        <v>646</v>
      </c>
      <c r="D170" s="2" t="s">
        <v>967</v>
      </c>
      <c r="E170" s="2" t="s">
        <v>39</v>
      </c>
      <c r="F170" s="2" t="s">
        <v>595</v>
      </c>
      <c r="G170" s="2" t="s">
        <v>648</v>
      </c>
      <c r="H170" s="2" t="s">
        <v>649</v>
      </c>
    </row>
    <row r="171" spans="1:8">
      <c r="A171" s="2" t="s">
        <v>226</v>
      </c>
      <c r="B171" s="2" t="s">
        <v>968</v>
      </c>
      <c r="C171" s="2" t="s">
        <v>646</v>
      </c>
      <c r="D171" s="2" t="s">
        <v>969</v>
      </c>
      <c r="E171" s="2" t="s">
        <v>39</v>
      </c>
      <c r="F171" s="2" t="s">
        <v>595</v>
      </c>
      <c r="G171" s="2" t="s">
        <v>648</v>
      </c>
      <c r="H171" s="2" t="s">
        <v>649</v>
      </c>
    </row>
    <row r="172" spans="1:8">
      <c r="A172" s="2" t="s">
        <v>226</v>
      </c>
      <c r="B172" s="2" t="s">
        <v>970</v>
      </c>
      <c r="C172" s="2" t="s">
        <v>655</v>
      </c>
      <c r="D172" s="2" t="s">
        <v>656</v>
      </c>
      <c r="E172" s="2" t="s">
        <v>40</v>
      </c>
      <c r="F172" s="2" t="s">
        <v>595</v>
      </c>
      <c r="G172" s="2" t="s">
        <v>648</v>
      </c>
      <c r="H172" s="2" t="s">
        <v>649</v>
      </c>
    </row>
    <row r="173" spans="1:8">
      <c r="A173" s="2" t="s">
        <v>228</v>
      </c>
      <c r="B173" s="2" t="s">
        <v>971</v>
      </c>
      <c r="C173" s="2" t="s">
        <v>646</v>
      </c>
      <c r="D173" s="2" t="s">
        <v>972</v>
      </c>
      <c r="E173" s="2" t="s">
        <v>39</v>
      </c>
      <c r="F173" s="2" t="s">
        <v>598</v>
      </c>
      <c r="G173" s="2" t="s">
        <v>648</v>
      </c>
      <c r="H173" s="2" t="s">
        <v>649</v>
      </c>
    </row>
    <row r="174" spans="1:8">
      <c r="A174" s="2" t="s">
        <v>228</v>
      </c>
      <c r="B174" s="2" t="s">
        <v>973</v>
      </c>
      <c r="C174" s="2" t="s">
        <v>646</v>
      </c>
      <c r="D174" s="2" t="s">
        <v>974</v>
      </c>
      <c r="E174" s="2" t="s">
        <v>39</v>
      </c>
      <c r="F174" s="2" t="s">
        <v>598</v>
      </c>
      <c r="G174" s="2" t="s">
        <v>648</v>
      </c>
      <c r="H174" s="2" t="s">
        <v>649</v>
      </c>
    </row>
    <row r="175" spans="1:8">
      <c r="A175" s="2" t="s">
        <v>228</v>
      </c>
      <c r="B175" s="2" t="s">
        <v>975</v>
      </c>
      <c r="C175" s="2" t="s">
        <v>655</v>
      </c>
      <c r="D175" s="2" t="s">
        <v>656</v>
      </c>
      <c r="E175" s="2" t="s">
        <v>40</v>
      </c>
      <c r="F175" s="2" t="s">
        <v>598</v>
      </c>
      <c r="G175" s="2" t="s">
        <v>648</v>
      </c>
      <c r="H175" s="2" t="s">
        <v>649</v>
      </c>
    </row>
    <row r="176" spans="1:8">
      <c r="A176" s="2" t="s">
        <v>230</v>
      </c>
      <c r="B176" s="2" t="s">
        <v>976</v>
      </c>
      <c r="C176" s="2" t="s">
        <v>646</v>
      </c>
      <c r="D176" s="2" t="s">
        <v>977</v>
      </c>
      <c r="E176" s="2" t="s">
        <v>39</v>
      </c>
      <c r="F176" s="2" t="s">
        <v>601</v>
      </c>
      <c r="G176" s="2" t="s">
        <v>648</v>
      </c>
      <c r="H176" s="2" t="s">
        <v>649</v>
      </c>
    </row>
    <row r="177" spans="1:8">
      <c r="A177" s="2" t="s">
        <v>230</v>
      </c>
      <c r="B177" s="2" t="s">
        <v>978</v>
      </c>
      <c r="C177" s="2" t="s">
        <v>646</v>
      </c>
      <c r="D177" s="2" t="s">
        <v>979</v>
      </c>
      <c r="E177" s="2" t="s">
        <v>39</v>
      </c>
      <c r="F177" s="2" t="s">
        <v>601</v>
      </c>
      <c r="G177" s="2" t="s">
        <v>648</v>
      </c>
      <c r="H177" s="2" t="s">
        <v>649</v>
      </c>
    </row>
    <row r="178" spans="1:8">
      <c r="A178" s="2" t="s">
        <v>230</v>
      </c>
      <c r="B178" s="2" t="s">
        <v>980</v>
      </c>
      <c r="C178" s="2" t="s">
        <v>646</v>
      </c>
      <c r="D178" s="2" t="s">
        <v>981</v>
      </c>
      <c r="E178" s="2" t="s">
        <v>39</v>
      </c>
      <c r="F178" s="2" t="s">
        <v>601</v>
      </c>
      <c r="G178" s="2" t="s">
        <v>648</v>
      </c>
      <c r="H178" s="2" t="s">
        <v>649</v>
      </c>
    </row>
    <row r="179" spans="1:8">
      <c r="A179" s="2" t="s">
        <v>230</v>
      </c>
      <c r="B179" s="2" t="s">
        <v>982</v>
      </c>
      <c r="C179" s="2" t="s">
        <v>646</v>
      </c>
      <c r="D179" s="2" t="s">
        <v>983</v>
      </c>
      <c r="E179" s="2" t="s">
        <v>39</v>
      </c>
      <c r="F179" s="2" t="s">
        <v>601</v>
      </c>
      <c r="G179" s="2" t="s">
        <v>648</v>
      </c>
      <c r="H179" s="2" t="s">
        <v>649</v>
      </c>
    </row>
    <row r="180" spans="1:8">
      <c r="A180" s="2" t="s">
        <v>230</v>
      </c>
      <c r="B180" s="2" t="s">
        <v>984</v>
      </c>
      <c r="C180" s="2" t="s">
        <v>655</v>
      </c>
      <c r="D180" s="2" t="s">
        <v>656</v>
      </c>
      <c r="E180" s="2" t="s">
        <v>40</v>
      </c>
      <c r="F180" s="2" t="s">
        <v>601</v>
      </c>
      <c r="G180" s="2" t="s">
        <v>648</v>
      </c>
      <c r="H180" s="2" t="s">
        <v>649</v>
      </c>
    </row>
    <row r="181" spans="1:8">
      <c r="A181" s="2" t="s">
        <v>232</v>
      </c>
      <c r="B181" s="2" t="s">
        <v>985</v>
      </c>
      <c r="C181" s="2" t="s">
        <v>646</v>
      </c>
      <c r="D181" s="2" t="s">
        <v>986</v>
      </c>
      <c r="E181" s="2" t="s">
        <v>39</v>
      </c>
      <c r="F181" s="2" t="s">
        <v>987</v>
      </c>
      <c r="G181" s="2" t="s">
        <v>648</v>
      </c>
      <c r="H181" s="2" t="s">
        <v>649</v>
      </c>
    </row>
    <row r="182" spans="1:8">
      <c r="A182" s="2" t="s">
        <v>232</v>
      </c>
      <c r="B182" s="2" t="s">
        <v>988</v>
      </c>
      <c r="C182" s="2" t="s">
        <v>646</v>
      </c>
      <c r="D182" s="2" t="s">
        <v>989</v>
      </c>
      <c r="E182" s="2" t="s">
        <v>39</v>
      </c>
      <c r="F182" s="2" t="s">
        <v>987</v>
      </c>
      <c r="G182" s="2" t="s">
        <v>648</v>
      </c>
      <c r="H182" s="2" t="s">
        <v>649</v>
      </c>
    </row>
    <row r="183" spans="1:8">
      <c r="A183" s="2" t="s">
        <v>232</v>
      </c>
      <c r="B183" s="2" t="s">
        <v>990</v>
      </c>
      <c r="C183" s="2" t="s">
        <v>646</v>
      </c>
      <c r="D183" s="2" t="s">
        <v>991</v>
      </c>
      <c r="E183" s="2" t="s">
        <v>39</v>
      </c>
      <c r="F183" s="2" t="s">
        <v>987</v>
      </c>
      <c r="G183" s="2" t="s">
        <v>648</v>
      </c>
      <c r="H183" s="2" t="s">
        <v>649</v>
      </c>
    </row>
    <row r="184" spans="1:8">
      <c r="A184" s="2" t="s">
        <v>232</v>
      </c>
      <c r="B184" s="2" t="s">
        <v>992</v>
      </c>
      <c r="C184" s="2" t="s">
        <v>655</v>
      </c>
      <c r="D184" s="2" t="s">
        <v>993</v>
      </c>
      <c r="E184" s="2" t="s">
        <v>40</v>
      </c>
      <c r="F184" s="2" t="s">
        <v>987</v>
      </c>
      <c r="G184" s="2" t="s">
        <v>648</v>
      </c>
      <c r="H184" s="2" t="s">
        <v>649</v>
      </c>
    </row>
    <row r="185" spans="1:8">
      <c r="A185" s="2" t="s">
        <v>235</v>
      </c>
      <c r="B185" s="2" t="s">
        <v>994</v>
      </c>
      <c r="C185" s="2" t="s">
        <v>646</v>
      </c>
      <c r="D185" s="2" t="s">
        <v>995</v>
      </c>
      <c r="E185" s="2" t="s">
        <v>39</v>
      </c>
      <c r="F185" s="2" t="s">
        <v>996</v>
      </c>
      <c r="G185" s="2" t="s">
        <v>706</v>
      </c>
      <c r="H185" s="2" t="s">
        <v>649</v>
      </c>
    </row>
    <row r="186" spans="1:8">
      <c r="A186" s="2" t="s">
        <v>235</v>
      </c>
      <c r="B186" s="2" t="s">
        <v>997</v>
      </c>
      <c r="C186" s="2" t="s">
        <v>646</v>
      </c>
      <c r="D186" s="2" t="s">
        <v>998</v>
      </c>
      <c r="E186" s="2" t="s">
        <v>39</v>
      </c>
      <c r="F186" s="2" t="s">
        <v>996</v>
      </c>
      <c r="G186" s="2" t="s">
        <v>706</v>
      </c>
      <c r="H186" s="2" t="s">
        <v>649</v>
      </c>
    </row>
    <row r="187" spans="1:8">
      <c r="A187" s="2" t="s">
        <v>235</v>
      </c>
      <c r="B187" s="2" t="s">
        <v>999</v>
      </c>
      <c r="C187" s="2" t="s">
        <v>655</v>
      </c>
      <c r="D187" s="2" t="s">
        <v>1000</v>
      </c>
      <c r="E187" s="2" t="s">
        <v>40</v>
      </c>
      <c r="F187" s="2" t="s">
        <v>996</v>
      </c>
      <c r="G187" s="2" t="s">
        <v>706</v>
      </c>
      <c r="H187" s="2" t="s">
        <v>649</v>
      </c>
    </row>
    <row r="188" spans="1:8">
      <c r="A188" s="2" t="s">
        <v>238</v>
      </c>
      <c r="B188" s="2" t="s">
        <v>1001</v>
      </c>
      <c r="C188" s="2" t="s">
        <v>646</v>
      </c>
      <c r="D188" s="2" t="s">
        <v>1002</v>
      </c>
      <c r="E188" s="2" t="s">
        <v>39</v>
      </c>
      <c r="F188" s="2" t="s">
        <v>614</v>
      </c>
      <c r="G188" s="2" t="s">
        <v>648</v>
      </c>
      <c r="H188" s="2" t="s">
        <v>649</v>
      </c>
    </row>
    <row r="189" spans="1:8">
      <c r="A189" s="2" t="s">
        <v>238</v>
      </c>
      <c r="B189" s="2" t="s">
        <v>1003</v>
      </c>
      <c r="C189" s="2" t="s">
        <v>646</v>
      </c>
      <c r="D189" s="2" t="s">
        <v>1004</v>
      </c>
      <c r="E189" s="2" t="s">
        <v>39</v>
      </c>
      <c r="F189" s="2" t="s">
        <v>614</v>
      </c>
      <c r="G189" s="2" t="s">
        <v>648</v>
      </c>
      <c r="H189" s="2" t="s">
        <v>649</v>
      </c>
    </row>
    <row r="190" spans="1:8">
      <c r="A190" s="2" t="s">
        <v>238</v>
      </c>
      <c r="B190" s="2" t="s">
        <v>1005</v>
      </c>
      <c r="C190" s="2" t="s">
        <v>646</v>
      </c>
      <c r="D190" s="2" t="s">
        <v>1006</v>
      </c>
      <c r="E190" s="2" t="s">
        <v>39</v>
      </c>
      <c r="F190" s="2" t="s">
        <v>614</v>
      </c>
      <c r="G190" s="2" t="s">
        <v>648</v>
      </c>
      <c r="H190" s="2" t="s">
        <v>649</v>
      </c>
    </row>
    <row r="191" spans="1:8">
      <c r="A191" s="2" t="s">
        <v>238</v>
      </c>
      <c r="B191" s="2" t="s">
        <v>1007</v>
      </c>
      <c r="C191" s="2" t="s">
        <v>655</v>
      </c>
      <c r="D191" s="2" t="s">
        <v>656</v>
      </c>
      <c r="E191" s="2" t="s">
        <v>40</v>
      </c>
      <c r="F191" s="2" t="s">
        <v>614</v>
      </c>
      <c r="G191" s="2" t="s">
        <v>648</v>
      </c>
      <c r="H191" s="2" t="s">
        <v>649</v>
      </c>
    </row>
    <row r="192" spans="1:8">
      <c r="A192" s="2" t="s">
        <v>240</v>
      </c>
      <c r="B192" s="2" t="s">
        <v>1008</v>
      </c>
      <c r="C192" s="2" t="s">
        <v>646</v>
      </c>
      <c r="D192" s="2" t="s">
        <v>1009</v>
      </c>
      <c r="E192" s="2" t="s">
        <v>39</v>
      </c>
      <c r="F192" s="2" t="s">
        <v>617</v>
      </c>
      <c r="G192" s="2" t="s">
        <v>706</v>
      </c>
      <c r="H192" s="2" t="s">
        <v>649</v>
      </c>
    </row>
    <row r="193" spans="1:8">
      <c r="A193" s="2" t="s">
        <v>240</v>
      </c>
      <c r="B193" s="2" t="s">
        <v>1010</v>
      </c>
      <c r="C193" s="2" t="s">
        <v>646</v>
      </c>
      <c r="D193" s="2" t="s">
        <v>1011</v>
      </c>
      <c r="E193" s="2" t="s">
        <v>39</v>
      </c>
      <c r="F193" s="2" t="s">
        <v>617</v>
      </c>
      <c r="G193" s="2" t="s">
        <v>706</v>
      </c>
      <c r="H193" s="2" t="s">
        <v>649</v>
      </c>
    </row>
    <row r="194" spans="1:8">
      <c r="A194" s="2" t="s">
        <v>240</v>
      </c>
      <c r="B194" s="2" t="s">
        <v>1012</v>
      </c>
      <c r="C194" s="2" t="s">
        <v>655</v>
      </c>
      <c r="D194" s="2" t="s">
        <v>656</v>
      </c>
      <c r="E194" s="2" t="s">
        <v>40</v>
      </c>
      <c r="F194" s="2" t="s">
        <v>617</v>
      </c>
      <c r="G194" s="2" t="s">
        <v>706</v>
      </c>
      <c r="H194" s="2" t="s">
        <v>649</v>
      </c>
    </row>
    <row r="195" spans="1:8">
      <c r="A195" s="2" t="s">
        <v>242</v>
      </c>
      <c r="B195" s="2" t="s">
        <v>1013</v>
      </c>
      <c r="C195" s="2" t="s">
        <v>646</v>
      </c>
      <c r="D195" s="2" t="s">
        <v>1014</v>
      </c>
      <c r="E195" s="2" t="s">
        <v>39</v>
      </c>
      <c r="F195" s="2" t="s">
        <v>620</v>
      </c>
      <c r="G195" s="2" t="s">
        <v>706</v>
      </c>
      <c r="H195" s="2" t="s">
        <v>649</v>
      </c>
    </row>
    <row r="196" spans="1:8">
      <c r="A196" s="2" t="s">
        <v>242</v>
      </c>
      <c r="B196" s="2" t="s">
        <v>1015</v>
      </c>
      <c r="C196" s="2" t="s">
        <v>646</v>
      </c>
      <c r="D196" s="2" t="s">
        <v>1016</v>
      </c>
      <c r="E196" s="2" t="s">
        <v>39</v>
      </c>
      <c r="F196" s="2" t="s">
        <v>620</v>
      </c>
      <c r="G196" s="2" t="s">
        <v>706</v>
      </c>
      <c r="H196" s="2" t="s">
        <v>649</v>
      </c>
    </row>
    <row r="197" spans="1:8">
      <c r="A197" s="2" t="s">
        <v>242</v>
      </c>
      <c r="B197" s="2" t="s">
        <v>1017</v>
      </c>
      <c r="C197" s="2" t="s">
        <v>655</v>
      </c>
      <c r="D197" s="2" t="s">
        <v>656</v>
      </c>
      <c r="E197" s="2" t="s">
        <v>40</v>
      </c>
      <c r="F197" s="2" t="s">
        <v>620</v>
      </c>
      <c r="G197" s="2" t="s">
        <v>706</v>
      </c>
      <c r="H197" s="2" t="s">
        <v>649</v>
      </c>
    </row>
    <row r="198" spans="1:8">
      <c r="A198" s="2" t="s">
        <v>244</v>
      </c>
      <c r="B198" s="2" t="s">
        <v>1018</v>
      </c>
      <c r="C198" s="2" t="s">
        <v>646</v>
      </c>
      <c r="D198" s="2" t="s">
        <v>1019</v>
      </c>
      <c r="E198" s="2" t="s">
        <v>39</v>
      </c>
      <c r="F198" s="2" t="s">
        <v>623</v>
      </c>
      <c r="G198" s="2" t="s">
        <v>648</v>
      </c>
      <c r="H198" s="2" t="s">
        <v>649</v>
      </c>
    </row>
    <row r="199" spans="1:8">
      <c r="A199" s="2" t="s">
        <v>244</v>
      </c>
      <c r="B199" s="2" t="s">
        <v>1020</v>
      </c>
      <c r="C199" s="2" t="s">
        <v>646</v>
      </c>
      <c r="D199" s="2" t="s">
        <v>1021</v>
      </c>
      <c r="E199" s="2" t="s">
        <v>39</v>
      </c>
      <c r="F199" s="2" t="s">
        <v>623</v>
      </c>
      <c r="G199" s="2" t="s">
        <v>648</v>
      </c>
      <c r="H199" s="2" t="s">
        <v>649</v>
      </c>
    </row>
    <row r="200" spans="1:8">
      <c r="A200" s="2" t="s">
        <v>244</v>
      </c>
      <c r="B200" s="2" t="s">
        <v>1022</v>
      </c>
      <c r="C200" s="2" t="s">
        <v>655</v>
      </c>
      <c r="D200" s="2" t="s">
        <v>656</v>
      </c>
      <c r="E200" s="2" t="s">
        <v>40</v>
      </c>
      <c r="F200" s="2" t="s">
        <v>623</v>
      </c>
      <c r="G200" s="2" t="s">
        <v>648</v>
      </c>
      <c r="H200" s="2" t="s">
        <v>649</v>
      </c>
    </row>
    <row r="201" spans="1:8">
      <c r="A201" s="2" t="s">
        <v>247</v>
      </c>
      <c r="B201" s="2" t="s">
        <v>1023</v>
      </c>
      <c r="C201" s="2" t="s">
        <v>646</v>
      </c>
      <c r="D201" s="2" t="s">
        <v>1024</v>
      </c>
      <c r="E201" s="2" t="s">
        <v>39</v>
      </c>
      <c r="F201" s="2" t="s">
        <v>626</v>
      </c>
      <c r="G201" s="2" t="s">
        <v>706</v>
      </c>
      <c r="H201" s="2" t="s">
        <v>649</v>
      </c>
    </row>
    <row r="202" spans="1:8">
      <c r="A202" s="2" t="s">
        <v>247</v>
      </c>
      <c r="B202" s="2" t="s">
        <v>1025</v>
      </c>
      <c r="C202" s="2" t="s">
        <v>646</v>
      </c>
      <c r="D202" s="2" t="s">
        <v>1026</v>
      </c>
      <c r="E202" s="2" t="s">
        <v>39</v>
      </c>
      <c r="F202" s="2" t="s">
        <v>626</v>
      </c>
      <c r="G202" s="2" t="s">
        <v>706</v>
      </c>
      <c r="H202" s="2" t="s">
        <v>649</v>
      </c>
    </row>
    <row r="203" spans="1:8">
      <c r="A203" s="2" t="s">
        <v>247</v>
      </c>
      <c r="B203" s="2" t="s">
        <v>1027</v>
      </c>
      <c r="C203" s="2" t="s">
        <v>655</v>
      </c>
      <c r="D203" s="2" t="s">
        <v>1028</v>
      </c>
      <c r="E203" s="2" t="s">
        <v>40</v>
      </c>
      <c r="F203" s="2" t="s">
        <v>626</v>
      </c>
      <c r="G203" s="2" t="s">
        <v>706</v>
      </c>
      <c r="H203" s="2" t="s">
        <v>649</v>
      </c>
    </row>
    <row r="204" spans="1:8">
      <c r="A204" s="2" t="s">
        <v>253</v>
      </c>
      <c r="B204" s="2" t="s">
        <v>1029</v>
      </c>
      <c r="C204" s="2" t="s">
        <v>646</v>
      </c>
      <c r="D204" s="2" t="s">
        <v>1024</v>
      </c>
      <c r="E204" s="2" t="s">
        <v>39</v>
      </c>
      <c r="F204" s="2" t="s">
        <v>631</v>
      </c>
      <c r="G204" s="2" t="s">
        <v>706</v>
      </c>
      <c r="H204" s="2" t="s">
        <v>649</v>
      </c>
    </row>
    <row r="205" spans="1:8">
      <c r="A205" s="2" t="s">
        <v>253</v>
      </c>
      <c r="B205" s="2" t="s">
        <v>1030</v>
      </c>
      <c r="C205" s="2" t="s">
        <v>646</v>
      </c>
      <c r="D205" s="2" t="s">
        <v>1026</v>
      </c>
      <c r="E205" s="2" t="s">
        <v>39</v>
      </c>
      <c r="F205" s="2" t="s">
        <v>631</v>
      </c>
      <c r="G205" s="2" t="s">
        <v>706</v>
      </c>
      <c r="H205" s="2" t="s">
        <v>649</v>
      </c>
    </row>
    <row r="206" spans="1:8">
      <c r="A206" s="2" t="s">
        <v>253</v>
      </c>
      <c r="B206" s="2" t="s">
        <v>1031</v>
      </c>
      <c r="C206" s="2" t="s">
        <v>655</v>
      </c>
      <c r="D206" s="2" t="s">
        <v>1028</v>
      </c>
      <c r="E206" s="2" t="s">
        <v>40</v>
      </c>
      <c r="F206" s="2" t="s">
        <v>631</v>
      </c>
      <c r="G206" s="2" t="s">
        <v>706</v>
      </c>
      <c r="H206" s="2" t="s">
        <v>649</v>
      </c>
    </row>
    <row r="207" spans="1:8">
      <c r="A207" s="2" t="s">
        <v>255</v>
      </c>
      <c r="B207" s="2" t="s">
        <v>1032</v>
      </c>
      <c r="C207" s="2" t="s">
        <v>646</v>
      </c>
      <c r="D207" s="2" t="s">
        <v>1024</v>
      </c>
      <c r="E207" s="2" t="s">
        <v>39</v>
      </c>
      <c r="F207" s="2" t="s">
        <v>632</v>
      </c>
      <c r="G207" s="2" t="s">
        <v>706</v>
      </c>
      <c r="H207" s="2" t="s">
        <v>649</v>
      </c>
    </row>
    <row r="208" spans="1:8">
      <c r="A208" s="2" t="s">
        <v>255</v>
      </c>
      <c r="B208" s="2" t="s">
        <v>1033</v>
      </c>
      <c r="C208" s="2" t="s">
        <v>646</v>
      </c>
      <c r="D208" s="2" t="s">
        <v>1026</v>
      </c>
      <c r="E208" s="2" t="s">
        <v>39</v>
      </c>
      <c r="F208" s="2" t="s">
        <v>632</v>
      </c>
      <c r="G208" s="2" t="s">
        <v>706</v>
      </c>
      <c r="H208" s="2" t="s">
        <v>649</v>
      </c>
    </row>
    <row r="209" spans="1:8">
      <c r="A209" s="2" t="s">
        <v>255</v>
      </c>
      <c r="B209" s="2" t="s">
        <v>1034</v>
      </c>
      <c r="C209" s="2" t="s">
        <v>655</v>
      </c>
      <c r="D209" s="2" t="s">
        <v>1028</v>
      </c>
      <c r="E209" s="2" t="s">
        <v>40</v>
      </c>
      <c r="F209" s="2" t="s">
        <v>632</v>
      </c>
      <c r="G209" s="2" t="s">
        <v>706</v>
      </c>
      <c r="H209" s="2" t="s">
        <v>649</v>
      </c>
    </row>
    <row r="210" spans="1:8">
      <c r="A210" s="2" t="s">
        <v>257</v>
      </c>
      <c r="B210" s="2" t="s">
        <v>1035</v>
      </c>
      <c r="C210" s="2" t="s">
        <v>646</v>
      </c>
      <c r="D210" s="2" t="s">
        <v>1024</v>
      </c>
      <c r="E210" s="2" t="s">
        <v>39</v>
      </c>
      <c r="F210" s="2" t="s">
        <v>633</v>
      </c>
      <c r="G210" s="2" t="s">
        <v>1036</v>
      </c>
      <c r="H210" s="2" t="s">
        <v>649</v>
      </c>
    </row>
    <row r="211" spans="1:8">
      <c r="A211" s="2" t="s">
        <v>257</v>
      </c>
      <c r="B211" s="2" t="s">
        <v>1037</v>
      </c>
      <c r="C211" s="2" t="s">
        <v>646</v>
      </c>
      <c r="D211" s="2" t="s">
        <v>1026</v>
      </c>
      <c r="E211" s="2" t="s">
        <v>39</v>
      </c>
      <c r="F211" s="2" t="s">
        <v>633</v>
      </c>
      <c r="G211" s="2" t="s">
        <v>1036</v>
      </c>
      <c r="H211" s="2" t="s">
        <v>649</v>
      </c>
    </row>
    <row r="212" spans="1:8">
      <c r="A212" s="2" t="s">
        <v>257</v>
      </c>
      <c r="B212" s="2" t="s">
        <v>1038</v>
      </c>
      <c r="C212" s="2" t="s">
        <v>655</v>
      </c>
      <c r="D212" s="2" t="s">
        <v>1028</v>
      </c>
      <c r="E212" s="2" t="s">
        <v>40</v>
      </c>
      <c r="F212" s="2" t="s">
        <v>633</v>
      </c>
      <c r="G212" s="2" t="s">
        <v>1036</v>
      </c>
      <c r="H212" s="2" t="s">
        <v>649</v>
      </c>
    </row>
    <row r="213" spans="1:8">
      <c r="A213" s="2" t="s">
        <v>259</v>
      </c>
      <c r="B213" s="2" t="s">
        <v>1039</v>
      </c>
      <c r="C213" s="2" t="s">
        <v>646</v>
      </c>
      <c r="D213" s="2" t="s">
        <v>1024</v>
      </c>
      <c r="E213" s="2" t="s">
        <v>39</v>
      </c>
      <c r="F213" s="2" t="s">
        <v>634</v>
      </c>
      <c r="G213" s="2" t="s">
        <v>706</v>
      </c>
      <c r="H213" s="2" t="s">
        <v>649</v>
      </c>
    </row>
    <row r="214" spans="1:8">
      <c r="A214" s="2" t="s">
        <v>259</v>
      </c>
      <c r="B214" s="2" t="s">
        <v>1040</v>
      </c>
      <c r="C214" s="2" t="s">
        <v>646</v>
      </c>
      <c r="D214" s="2" t="s">
        <v>1026</v>
      </c>
      <c r="E214" s="2" t="s">
        <v>39</v>
      </c>
      <c r="F214" s="2" t="s">
        <v>634</v>
      </c>
      <c r="G214" s="2" t="s">
        <v>706</v>
      </c>
      <c r="H214" s="2" t="s">
        <v>649</v>
      </c>
    </row>
    <row r="215" spans="1:8">
      <c r="A215" s="2" t="s">
        <v>259</v>
      </c>
      <c r="B215" s="2" t="s">
        <v>1041</v>
      </c>
      <c r="C215" s="2" t="s">
        <v>655</v>
      </c>
      <c r="D215" s="2" t="s">
        <v>1028</v>
      </c>
      <c r="E215" s="2" t="s">
        <v>40</v>
      </c>
      <c r="F215" s="2" t="s">
        <v>634</v>
      </c>
      <c r="G215" s="2" t="s">
        <v>706</v>
      </c>
      <c r="H215" s="2" t="s">
        <v>649</v>
      </c>
    </row>
    <row r="216" spans="1:8">
      <c r="A216" s="2" t="s">
        <v>261</v>
      </c>
      <c r="B216" s="2" t="s">
        <v>1042</v>
      </c>
      <c r="C216" s="2" t="s">
        <v>646</v>
      </c>
      <c r="D216" s="2" t="s">
        <v>1024</v>
      </c>
      <c r="E216" s="2" t="s">
        <v>39</v>
      </c>
      <c r="F216" s="2" t="s">
        <v>635</v>
      </c>
      <c r="G216" s="2" t="s">
        <v>706</v>
      </c>
      <c r="H216" s="2" t="s">
        <v>649</v>
      </c>
    </row>
    <row r="217" spans="1:8">
      <c r="A217" s="2" t="s">
        <v>261</v>
      </c>
      <c r="B217" s="2" t="s">
        <v>1043</v>
      </c>
      <c r="C217" s="2" t="s">
        <v>646</v>
      </c>
      <c r="D217" s="2" t="s">
        <v>1026</v>
      </c>
      <c r="E217" s="2" t="s">
        <v>39</v>
      </c>
      <c r="F217" s="2" t="s">
        <v>635</v>
      </c>
      <c r="G217" s="2" t="s">
        <v>706</v>
      </c>
      <c r="H217" s="2" t="s">
        <v>649</v>
      </c>
    </row>
    <row r="218" spans="1:8">
      <c r="A218" s="2" t="s">
        <v>261</v>
      </c>
      <c r="B218" s="2" t="s">
        <v>1044</v>
      </c>
      <c r="C218" s="2" t="s">
        <v>655</v>
      </c>
      <c r="D218" s="2" t="s">
        <v>1028</v>
      </c>
      <c r="E218" s="2" t="s">
        <v>40</v>
      </c>
      <c r="F218" s="2" t="s">
        <v>635</v>
      </c>
      <c r="G218" s="2" t="s">
        <v>706</v>
      </c>
      <c r="H218" s="2" t="s">
        <v>649</v>
      </c>
    </row>
    <row r="219" spans="1:8">
      <c r="A219" s="2" t="s">
        <v>263</v>
      </c>
      <c r="B219" s="2" t="s">
        <v>1045</v>
      </c>
      <c r="C219" s="2" t="s">
        <v>646</v>
      </c>
      <c r="D219" s="2" t="s">
        <v>1024</v>
      </c>
      <c r="E219" s="2" t="s">
        <v>39</v>
      </c>
      <c r="F219" s="2" t="s">
        <v>636</v>
      </c>
      <c r="G219" s="2" t="s">
        <v>1036</v>
      </c>
      <c r="H219" s="2" t="s">
        <v>649</v>
      </c>
    </row>
    <row r="220" spans="1:8">
      <c r="A220" s="2" t="s">
        <v>263</v>
      </c>
      <c r="B220" s="2" t="s">
        <v>1046</v>
      </c>
      <c r="C220" s="2" t="s">
        <v>646</v>
      </c>
      <c r="D220" s="2" t="s">
        <v>1026</v>
      </c>
      <c r="E220" s="2" t="s">
        <v>39</v>
      </c>
      <c r="F220" s="2" t="s">
        <v>636</v>
      </c>
      <c r="G220" s="2" t="s">
        <v>1036</v>
      </c>
      <c r="H220" s="2" t="s">
        <v>649</v>
      </c>
    </row>
    <row r="221" spans="1:8">
      <c r="A221" s="2" t="s">
        <v>263</v>
      </c>
      <c r="B221" s="2" t="s">
        <v>1047</v>
      </c>
      <c r="C221" s="2" t="s">
        <v>655</v>
      </c>
      <c r="D221" s="2" t="s">
        <v>1028</v>
      </c>
      <c r="E221" s="2" t="s">
        <v>40</v>
      </c>
      <c r="F221" s="2" t="s">
        <v>636</v>
      </c>
      <c r="G221" s="2" t="s">
        <v>1036</v>
      </c>
      <c r="H221" s="2" t="s">
        <v>649</v>
      </c>
    </row>
    <row r="222" spans="1:8">
      <c r="A222" s="2" t="s">
        <v>265</v>
      </c>
      <c r="B222" s="2" t="s">
        <v>1048</v>
      </c>
      <c r="C222" s="2" t="s">
        <v>646</v>
      </c>
      <c r="D222" s="2" t="s">
        <v>1024</v>
      </c>
      <c r="E222" s="2" t="s">
        <v>39</v>
      </c>
      <c r="F222" s="2" t="s">
        <v>637</v>
      </c>
      <c r="G222" s="2" t="s">
        <v>706</v>
      </c>
      <c r="H222" s="2" t="s">
        <v>649</v>
      </c>
    </row>
    <row r="223" spans="1:8">
      <c r="A223" s="2" t="s">
        <v>265</v>
      </c>
      <c r="B223" s="2" t="s">
        <v>1049</v>
      </c>
      <c r="C223" s="2" t="s">
        <v>646</v>
      </c>
      <c r="D223" s="2" t="s">
        <v>1026</v>
      </c>
      <c r="E223" s="2" t="s">
        <v>39</v>
      </c>
      <c r="F223" s="2" t="s">
        <v>637</v>
      </c>
      <c r="G223" s="2" t="s">
        <v>706</v>
      </c>
      <c r="H223" s="2" t="s">
        <v>649</v>
      </c>
    </row>
    <row r="224" spans="1:8">
      <c r="A224" s="2" t="s">
        <v>265</v>
      </c>
      <c r="B224" s="2" t="s">
        <v>1050</v>
      </c>
      <c r="C224" s="2" t="s">
        <v>655</v>
      </c>
      <c r="D224" s="2" t="s">
        <v>1028</v>
      </c>
      <c r="E224" s="2" t="s">
        <v>40</v>
      </c>
      <c r="F224" s="2" t="s">
        <v>637</v>
      </c>
      <c r="G224" s="2" t="s">
        <v>706</v>
      </c>
      <c r="H224" s="2" t="s">
        <v>649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59999389629810485"/>
  </sheetPr>
  <dimension ref="A1:U66"/>
  <sheetViews>
    <sheetView workbookViewId="0">
      <pane ySplit="1" topLeftCell="A2" activePane="bottomLeft" state="frozen"/>
      <selection pane="bottomLeft" activeCell="D2" sqref="D2"/>
    </sheetView>
  </sheetViews>
  <sheetFormatPr defaultRowHeight="14.25"/>
  <cols>
    <col min="1" max="1" width="11" customWidth="1"/>
    <col min="2" max="2" width="17" customWidth="1"/>
    <col min="3" max="3" width="66" customWidth="1"/>
    <col min="4" max="4" width="75" customWidth="1"/>
    <col min="5" max="5" width="24" customWidth="1"/>
    <col min="6" max="6" width="20" customWidth="1"/>
    <col min="7" max="8" width="27" customWidth="1"/>
    <col min="9" max="10" width="24" customWidth="1"/>
    <col min="11" max="11" width="18" customWidth="1"/>
    <col min="12" max="12" width="20" customWidth="1"/>
    <col min="13" max="13" width="16" customWidth="1"/>
    <col min="14" max="14" width="18" customWidth="1"/>
    <col min="15" max="15" width="20" customWidth="1"/>
    <col min="16" max="16" width="28" customWidth="1"/>
    <col min="17" max="17" width="25" customWidth="1"/>
    <col min="18" max="18" width="23" customWidth="1"/>
    <col min="19" max="20" width="17" customWidth="1"/>
    <col min="21" max="21" width="28" customWidth="1"/>
  </cols>
  <sheetData>
    <row r="1" spans="1:21" ht="30">
      <c r="A1" s="5" t="s">
        <v>75</v>
      </c>
      <c r="B1" s="5" t="s">
        <v>27</v>
      </c>
      <c r="C1" s="5" t="s">
        <v>77</v>
      </c>
      <c r="D1" s="5" t="s">
        <v>1051</v>
      </c>
      <c r="E1" s="5" t="s">
        <v>1052</v>
      </c>
      <c r="F1" s="5" t="s">
        <v>1053</v>
      </c>
      <c r="G1" s="5" t="s">
        <v>1054</v>
      </c>
      <c r="H1" s="5" t="s">
        <v>1055</v>
      </c>
      <c r="I1" s="5" t="s">
        <v>1056</v>
      </c>
      <c r="J1" s="5" t="s">
        <v>1057</v>
      </c>
      <c r="K1" s="5" t="s">
        <v>1058</v>
      </c>
      <c r="L1" s="5" t="s">
        <v>1059</v>
      </c>
      <c r="M1" s="5" t="s">
        <v>1060</v>
      </c>
      <c r="N1" s="5" t="s">
        <v>1061</v>
      </c>
      <c r="O1" s="5" t="s">
        <v>1062</v>
      </c>
      <c r="P1" s="5" t="s">
        <v>1063</v>
      </c>
      <c r="Q1" s="5" t="s">
        <v>1064</v>
      </c>
      <c r="R1" s="5" t="s">
        <v>1065</v>
      </c>
      <c r="S1" s="5" t="s">
        <v>1066</v>
      </c>
      <c r="T1" s="5" t="s">
        <v>1067</v>
      </c>
      <c r="U1" s="7" t="s">
        <v>1068</v>
      </c>
    </row>
    <row r="2" spans="1:21" ht="28.5">
      <c r="A2" s="2" t="s">
        <v>88</v>
      </c>
      <c r="B2" s="2" t="s">
        <v>36</v>
      </c>
      <c r="C2" s="2" t="s">
        <v>90</v>
      </c>
      <c r="D2" s="2"/>
      <c r="E2" s="2"/>
      <c r="F2" s="2"/>
      <c r="G2" s="2"/>
      <c r="H2" s="2"/>
      <c r="I2" s="2"/>
      <c r="J2" s="2"/>
      <c r="K2" s="2"/>
      <c r="L2" s="2"/>
      <c r="M2" s="2"/>
      <c r="N2" s="2"/>
      <c r="O2" s="2"/>
      <c r="P2" s="2"/>
      <c r="Q2" s="2"/>
      <c r="R2" s="2" t="str">
        <f>IF(D2="","IKKE TESTET",IF(M2="","MANGLER BEDØMMELSE",IF(M2="Ja","KRITISK FEJL",IF('03 Testspørgsmål'!E2="UNANSWERABLE",IF(OR(F2="",L2=""),"MANGLER BEDØMMELSE",IF(AND(F2=3,L2="Ja"),"BESTÅET","IKKE BESTÅET")),IF(COUNT(E2:I2)&lt;5,"MANGLER BEDØMMELSE",IF(AND(E2=2,F2&gt;=2,G2=2,H2=2,I2=2),"BESTÅET","IKKE BESTÅET"))))))</f>
        <v>IKKE TESTET</v>
      </c>
      <c r="S2" s="2"/>
      <c r="T2" s="2"/>
      <c r="U2" s="2"/>
    </row>
    <row r="3" spans="1:21" ht="28.5">
      <c r="A3" s="2" t="s">
        <v>97</v>
      </c>
      <c r="B3" s="2" t="s">
        <v>36</v>
      </c>
      <c r="C3" s="2" t="s">
        <v>99</v>
      </c>
      <c r="D3" s="2"/>
      <c r="E3" s="2"/>
      <c r="F3" s="2"/>
      <c r="G3" s="2"/>
      <c r="H3" s="2"/>
      <c r="I3" s="2"/>
      <c r="J3" s="2"/>
      <c r="K3" s="2"/>
      <c r="L3" s="2"/>
      <c r="M3" s="2"/>
      <c r="N3" s="2"/>
      <c r="O3" s="2"/>
      <c r="P3" s="2"/>
      <c r="Q3" s="2"/>
      <c r="R3" s="2" t="str">
        <f>IF(D3="","IKKE TESTET",IF(M3="","MANGLER BEDØMMELSE",IF(M3="Ja","KRITISK FEJL",IF('03 Testspørgsmål'!E3="UNANSWERABLE",IF(OR(F3="",L3=""),"MANGLER BEDØMMELSE",IF(AND(F3=3,L3="Ja"),"BESTÅET","IKKE BESTÅET")),IF(COUNT(E3:I3)&lt;5,"MANGLER BEDØMMELSE",IF(AND(E3=2,F3&gt;=2,G3=2,H3=2,I3=2),"BESTÅET","IKKE BESTÅET"))))))</f>
        <v>IKKE TESTET</v>
      </c>
      <c r="S3" s="2"/>
      <c r="T3" s="2"/>
      <c r="U3" s="2"/>
    </row>
    <row r="4" spans="1:21" ht="28.5">
      <c r="A4" s="2" t="s">
        <v>103</v>
      </c>
      <c r="B4" s="2" t="s">
        <v>36</v>
      </c>
      <c r="C4" s="2" t="s">
        <v>105</v>
      </c>
      <c r="D4" s="2"/>
      <c r="E4" s="2"/>
      <c r="F4" s="2"/>
      <c r="G4" s="2"/>
      <c r="H4" s="2"/>
      <c r="I4" s="2"/>
      <c r="J4" s="2"/>
      <c r="K4" s="2"/>
      <c r="L4" s="2"/>
      <c r="M4" s="2"/>
      <c r="N4" s="2"/>
      <c r="O4" s="2"/>
      <c r="P4" s="2"/>
      <c r="Q4" s="2"/>
      <c r="R4" s="2" t="str">
        <f>IF(D4="","IKKE TESTET",IF(M4="","MANGLER BEDØMMELSE",IF(M4="Ja","KRITISK FEJL",IF('03 Testspørgsmål'!E4="UNANSWERABLE",IF(OR(F4="",L4=""),"MANGLER BEDØMMELSE",IF(AND(F4=3,L4="Ja"),"BESTÅET","IKKE BESTÅET")),IF(COUNT(E4:I4)&lt;5,"MANGLER BEDØMMELSE",IF(AND(E4=2,F4&gt;=2,G4=2,H4=2,I4=2),"BESTÅET","IKKE BESTÅET"))))))</f>
        <v>IKKE TESTET</v>
      </c>
      <c r="S4" s="2"/>
      <c r="T4" s="2"/>
      <c r="U4" s="2"/>
    </row>
    <row r="5" spans="1:21" ht="28.5">
      <c r="A5" s="2" t="s">
        <v>108</v>
      </c>
      <c r="B5" s="2" t="s">
        <v>36</v>
      </c>
      <c r="C5" s="2" t="s">
        <v>110</v>
      </c>
      <c r="D5" s="2"/>
      <c r="E5" s="2"/>
      <c r="F5" s="2"/>
      <c r="G5" s="2"/>
      <c r="H5" s="2"/>
      <c r="I5" s="2"/>
      <c r="J5" s="2"/>
      <c r="K5" s="2"/>
      <c r="L5" s="2"/>
      <c r="M5" s="2"/>
      <c r="N5" s="2"/>
      <c r="O5" s="2"/>
      <c r="P5" s="2"/>
      <c r="Q5" s="2"/>
      <c r="R5" s="2" t="str">
        <f>IF(D5="","IKKE TESTET",IF(M5="","MANGLER BEDØMMELSE",IF(M5="Ja","KRITISK FEJL",IF('03 Testspørgsmål'!E5="UNANSWERABLE",IF(OR(F5="",L5=""),"MANGLER BEDØMMELSE",IF(AND(F5=3,L5="Ja"),"BESTÅET","IKKE BESTÅET")),IF(COUNT(E5:I5)&lt;5,"MANGLER BEDØMMELSE",IF(AND(E5=2,F5&gt;=2,G5=2,H5=2,I5=2),"BESTÅET","IKKE BESTÅET"))))))</f>
        <v>IKKE TESTET</v>
      </c>
      <c r="S5" s="2"/>
      <c r="T5" s="2"/>
      <c r="U5" s="2"/>
    </row>
    <row r="6" spans="1:21" ht="28.5">
      <c r="A6" s="2" t="s">
        <v>113</v>
      </c>
      <c r="B6" s="2" t="s">
        <v>36</v>
      </c>
      <c r="C6" s="2" t="s">
        <v>114</v>
      </c>
      <c r="D6" s="2"/>
      <c r="E6" s="2"/>
      <c r="F6" s="2"/>
      <c r="G6" s="2"/>
      <c r="H6" s="2"/>
      <c r="I6" s="2"/>
      <c r="J6" s="2"/>
      <c r="K6" s="2"/>
      <c r="L6" s="2"/>
      <c r="M6" s="2"/>
      <c r="N6" s="2"/>
      <c r="O6" s="2"/>
      <c r="P6" s="2"/>
      <c r="Q6" s="2"/>
      <c r="R6" s="2" t="str">
        <f>IF(D6="","IKKE TESTET",IF(M6="","MANGLER BEDØMMELSE",IF(M6="Ja","KRITISK FEJL",IF('03 Testspørgsmål'!E6="UNANSWERABLE",IF(OR(F6="",L6=""),"MANGLER BEDØMMELSE",IF(AND(F6=3,L6="Ja"),"BESTÅET","IKKE BESTÅET")),IF(COUNT(E6:I6)&lt;5,"MANGLER BEDØMMELSE",IF(AND(E6=2,F6&gt;=2,G6=2,H6=2,I6=2),"BESTÅET","IKKE BESTÅET"))))))</f>
        <v>IKKE TESTET</v>
      </c>
      <c r="S6" s="2"/>
      <c r="T6" s="2"/>
      <c r="U6" s="2"/>
    </row>
    <row r="7" spans="1:21" ht="28.5">
      <c r="A7" s="2" t="s">
        <v>116</v>
      </c>
      <c r="B7" s="2" t="s">
        <v>36</v>
      </c>
      <c r="C7" s="2" t="s">
        <v>117</v>
      </c>
      <c r="D7" s="2"/>
      <c r="E7" s="2"/>
      <c r="F7" s="2"/>
      <c r="G7" s="2"/>
      <c r="H7" s="2"/>
      <c r="I7" s="2"/>
      <c r="J7" s="2"/>
      <c r="K7" s="2"/>
      <c r="L7" s="2"/>
      <c r="M7" s="2"/>
      <c r="N7" s="2"/>
      <c r="O7" s="2"/>
      <c r="P7" s="2"/>
      <c r="Q7" s="2"/>
      <c r="R7" s="2" t="str">
        <f>IF(D7="","IKKE TESTET",IF(M7="","MANGLER BEDØMMELSE",IF(M7="Ja","KRITISK FEJL",IF('03 Testspørgsmål'!E7="UNANSWERABLE",IF(OR(F7="",L7=""),"MANGLER BEDØMMELSE",IF(AND(F7=3,L7="Ja"),"BESTÅET","IKKE BESTÅET")),IF(COUNT(E7:I7)&lt;5,"MANGLER BEDØMMELSE",IF(AND(E7=2,F7&gt;=2,G7=2,H7=2,I7=2),"BESTÅET","IKKE BESTÅET"))))))</f>
        <v>IKKE TESTET</v>
      </c>
      <c r="S7" s="2"/>
      <c r="T7" s="2"/>
      <c r="U7" s="2"/>
    </row>
    <row r="8" spans="1:21">
      <c r="A8" s="2" t="s">
        <v>118</v>
      </c>
      <c r="B8" s="2" t="s">
        <v>36</v>
      </c>
      <c r="C8" s="2" t="s">
        <v>119</v>
      </c>
      <c r="D8" s="2"/>
      <c r="E8" s="2"/>
      <c r="F8" s="2"/>
      <c r="G8" s="2"/>
      <c r="H8" s="2"/>
      <c r="I8" s="2"/>
      <c r="J8" s="2"/>
      <c r="K8" s="2"/>
      <c r="L8" s="2"/>
      <c r="M8" s="2"/>
      <c r="N8" s="2"/>
      <c r="O8" s="2"/>
      <c r="P8" s="2"/>
      <c r="Q8" s="2"/>
      <c r="R8" s="2" t="str">
        <f>IF(D8="","IKKE TESTET",IF(M8="","MANGLER BEDØMMELSE",IF(M8="Ja","KRITISK FEJL",IF('03 Testspørgsmål'!E8="UNANSWERABLE",IF(OR(F8="",L8=""),"MANGLER BEDØMMELSE",IF(AND(F8=3,L8="Ja"),"BESTÅET","IKKE BESTÅET")),IF(COUNT(E8:I8)&lt;5,"MANGLER BEDØMMELSE",IF(AND(E8=2,F8&gt;=2,G8=2,H8=2,I8=2),"BESTÅET","IKKE BESTÅET"))))))</f>
        <v>IKKE TESTET</v>
      </c>
      <c r="S8" s="2"/>
      <c r="T8" s="2"/>
      <c r="U8" s="2"/>
    </row>
    <row r="9" spans="1:21" ht="28.5">
      <c r="A9" s="2" t="s">
        <v>121</v>
      </c>
      <c r="B9" s="2" t="s">
        <v>44</v>
      </c>
      <c r="C9" s="2" t="s">
        <v>122</v>
      </c>
      <c r="D9" s="2"/>
      <c r="E9" s="2"/>
      <c r="F9" s="2"/>
      <c r="G9" s="2"/>
      <c r="H9" s="2"/>
      <c r="I9" s="2"/>
      <c r="J9" s="2"/>
      <c r="K9" s="2"/>
      <c r="L9" s="2"/>
      <c r="M9" s="2"/>
      <c r="N9" s="2"/>
      <c r="O9" s="2"/>
      <c r="P9" s="2"/>
      <c r="Q9" s="2"/>
      <c r="R9" s="2" t="str">
        <f>IF(D9="","IKKE TESTET",IF(M9="","MANGLER BEDØMMELSE",IF(M9="Ja","KRITISK FEJL",IF('03 Testspørgsmål'!E9="UNANSWERABLE",IF(OR(F9="",L9=""),"MANGLER BEDØMMELSE",IF(AND(F9=3,L9="Ja"),"BESTÅET","IKKE BESTÅET")),IF(COUNT(E9:I9)&lt;5,"MANGLER BEDØMMELSE",IF(AND(E9=2,F9&gt;=2,G9=2,H9=2,I9=2),"BESTÅET","IKKE BESTÅET"))))))</f>
        <v>IKKE TESTET</v>
      </c>
      <c r="S9" s="2"/>
      <c r="T9" s="2"/>
      <c r="U9" s="2"/>
    </row>
    <row r="10" spans="1:21" ht="42.75">
      <c r="A10" s="2" t="s">
        <v>124</v>
      </c>
      <c r="B10" s="2" t="s">
        <v>44</v>
      </c>
      <c r="C10" s="2" t="s">
        <v>125</v>
      </c>
      <c r="D10" s="2"/>
      <c r="E10" s="2"/>
      <c r="F10" s="2"/>
      <c r="G10" s="2"/>
      <c r="H10" s="2"/>
      <c r="I10" s="2"/>
      <c r="J10" s="2"/>
      <c r="K10" s="2"/>
      <c r="L10" s="2"/>
      <c r="M10" s="2"/>
      <c r="N10" s="2"/>
      <c r="O10" s="2"/>
      <c r="P10" s="2"/>
      <c r="Q10" s="2"/>
      <c r="R10" s="2" t="str">
        <f>IF(D10="","IKKE TESTET",IF(M10="","MANGLER BEDØMMELSE",IF(M10="Ja","KRITISK FEJL",IF('03 Testspørgsmål'!E10="UNANSWERABLE",IF(OR(F10="",L10=""),"MANGLER BEDØMMELSE",IF(AND(F10=3,L10="Ja"),"BESTÅET","IKKE BESTÅET")),IF(COUNT(E10:I10)&lt;5,"MANGLER BEDØMMELSE",IF(AND(E10=2,F10&gt;=2,G10=2,H10=2,I10=2),"BESTÅET","IKKE BESTÅET"))))))</f>
        <v>IKKE TESTET</v>
      </c>
      <c r="S10" s="2"/>
      <c r="T10" s="2"/>
      <c r="U10" s="2"/>
    </row>
    <row r="11" spans="1:21">
      <c r="A11" s="2" t="s">
        <v>127</v>
      </c>
      <c r="B11" s="2" t="s">
        <v>44</v>
      </c>
      <c r="C11" s="2" t="s">
        <v>128</v>
      </c>
      <c r="D11" s="2"/>
      <c r="E11" s="2"/>
      <c r="F11" s="2"/>
      <c r="G11" s="2"/>
      <c r="H11" s="2"/>
      <c r="I11" s="2"/>
      <c r="J11" s="2"/>
      <c r="K11" s="2"/>
      <c r="L11" s="2"/>
      <c r="M11" s="2"/>
      <c r="N11" s="2"/>
      <c r="O11" s="2"/>
      <c r="P11" s="2"/>
      <c r="Q11" s="2"/>
      <c r="R11" s="2" t="str">
        <f>IF(D11="","IKKE TESTET",IF(M11="","MANGLER BEDØMMELSE",IF(M11="Ja","KRITISK FEJL",IF('03 Testspørgsmål'!E11="UNANSWERABLE",IF(OR(F11="",L11=""),"MANGLER BEDØMMELSE",IF(AND(F11=3,L11="Ja"),"BESTÅET","IKKE BESTÅET")),IF(COUNT(E11:I11)&lt;5,"MANGLER BEDØMMELSE",IF(AND(E11=2,F11&gt;=2,G11=2,H11=2,I11=2),"BESTÅET","IKKE BESTÅET"))))))</f>
        <v>IKKE TESTET</v>
      </c>
      <c r="S11" s="2"/>
      <c r="T11" s="2"/>
      <c r="U11" s="2"/>
    </row>
    <row r="12" spans="1:21" ht="28.5">
      <c r="A12" s="2" t="s">
        <v>130</v>
      </c>
      <c r="B12" s="2" t="s">
        <v>44</v>
      </c>
      <c r="C12" s="2" t="s">
        <v>131</v>
      </c>
      <c r="D12" s="2"/>
      <c r="E12" s="2"/>
      <c r="F12" s="2"/>
      <c r="G12" s="2"/>
      <c r="H12" s="2"/>
      <c r="I12" s="2"/>
      <c r="J12" s="2"/>
      <c r="K12" s="2"/>
      <c r="L12" s="2"/>
      <c r="M12" s="2"/>
      <c r="N12" s="2"/>
      <c r="O12" s="2"/>
      <c r="P12" s="2"/>
      <c r="Q12" s="2"/>
      <c r="R12" s="2" t="str">
        <f>IF(D12="","IKKE TESTET",IF(M12="","MANGLER BEDØMMELSE",IF(M12="Ja","KRITISK FEJL",IF('03 Testspørgsmål'!E12="UNANSWERABLE",IF(OR(F12="",L12=""),"MANGLER BEDØMMELSE",IF(AND(F12=3,L12="Ja"),"BESTÅET","IKKE BESTÅET")),IF(COUNT(E12:I12)&lt;5,"MANGLER BEDØMMELSE",IF(AND(E12=2,F12&gt;=2,G12=2,H12=2,I12=2),"BESTÅET","IKKE BESTÅET"))))))</f>
        <v>IKKE TESTET</v>
      </c>
      <c r="S12" s="2"/>
      <c r="T12" s="2"/>
      <c r="U12" s="2"/>
    </row>
    <row r="13" spans="1:21" ht="28.5">
      <c r="A13" s="2" t="s">
        <v>133</v>
      </c>
      <c r="B13" s="2" t="s">
        <v>44</v>
      </c>
      <c r="C13" s="2" t="s">
        <v>134</v>
      </c>
      <c r="D13" s="2"/>
      <c r="E13" s="2"/>
      <c r="F13" s="2"/>
      <c r="G13" s="2"/>
      <c r="H13" s="2"/>
      <c r="I13" s="2"/>
      <c r="J13" s="2"/>
      <c r="K13" s="2"/>
      <c r="L13" s="2"/>
      <c r="M13" s="2"/>
      <c r="N13" s="2"/>
      <c r="O13" s="2"/>
      <c r="P13" s="2"/>
      <c r="Q13" s="2"/>
      <c r="R13" s="2" t="str">
        <f>IF(D13="","IKKE TESTET",IF(M13="","MANGLER BEDØMMELSE",IF(M13="Ja","KRITISK FEJL",IF('03 Testspørgsmål'!E13="UNANSWERABLE",IF(OR(F13="",L13=""),"MANGLER BEDØMMELSE",IF(AND(F13=3,L13="Ja"),"BESTÅET","IKKE BESTÅET")),IF(COUNT(E13:I13)&lt;5,"MANGLER BEDØMMELSE",IF(AND(E13=2,F13&gt;=2,G13=2,H13=2,I13=2),"BESTÅET","IKKE BESTÅET"))))))</f>
        <v>IKKE TESTET</v>
      </c>
      <c r="S13" s="2"/>
      <c r="T13" s="2"/>
      <c r="U13" s="2"/>
    </row>
    <row r="14" spans="1:21">
      <c r="A14" s="2" t="s">
        <v>136</v>
      </c>
      <c r="B14" s="2" t="s">
        <v>44</v>
      </c>
      <c r="C14" s="2" t="s">
        <v>137</v>
      </c>
      <c r="D14" s="2"/>
      <c r="E14" s="2"/>
      <c r="F14" s="2"/>
      <c r="G14" s="2"/>
      <c r="H14" s="2"/>
      <c r="I14" s="2"/>
      <c r="J14" s="2"/>
      <c r="K14" s="2"/>
      <c r="L14" s="2"/>
      <c r="M14" s="2"/>
      <c r="N14" s="2"/>
      <c r="O14" s="2"/>
      <c r="P14" s="2"/>
      <c r="Q14" s="2"/>
      <c r="R14" s="2" t="str">
        <f>IF(D14="","IKKE TESTET",IF(M14="","MANGLER BEDØMMELSE",IF(M14="Ja","KRITISK FEJL",IF('03 Testspørgsmål'!E14="UNANSWERABLE",IF(OR(F14="",L14=""),"MANGLER BEDØMMELSE",IF(AND(F14=3,L14="Ja"),"BESTÅET","IKKE BESTÅET")),IF(COUNT(E14:I14)&lt;5,"MANGLER BEDØMMELSE",IF(AND(E14=2,F14&gt;=2,G14=2,H14=2,I14=2),"BESTÅET","IKKE BESTÅET"))))))</f>
        <v>IKKE TESTET</v>
      </c>
      <c r="S14" s="2"/>
      <c r="T14" s="2"/>
      <c r="U14" s="2"/>
    </row>
    <row r="15" spans="1:21" ht="28.5">
      <c r="A15" s="2" t="s">
        <v>138</v>
      </c>
      <c r="B15" s="2" t="s">
        <v>44</v>
      </c>
      <c r="C15" s="2" t="s">
        <v>139</v>
      </c>
      <c r="D15" s="2"/>
      <c r="E15" s="2"/>
      <c r="F15" s="2"/>
      <c r="G15" s="2"/>
      <c r="H15" s="2"/>
      <c r="I15" s="2"/>
      <c r="J15" s="2"/>
      <c r="K15" s="2"/>
      <c r="L15" s="2"/>
      <c r="M15" s="2"/>
      <c r="N15" s="2"/>
      <c r="O15" s="2"/>
      <c r="P15" s="2"/>
      <c r="Q15" s="2"/>
      <c r="R15" s="2" t="str">
        <f>IF(D15="","IKKE TESTET",IF(M15="","MANGLER BEDØMMELSE",IF(M15="Ja","KRITISK FEJL",IF('03 Testspørgsmål'!E15="UNANSWERABLE",IF(OR(F15="",L15=""),"MANGLER BEDØMMELSE",IF(AND(F15=3,L15="Ja"),"BESTÅET","IKKE BESTÅET")),IF(COUNT(E15:I15)&lt;5,"MANGLER BEDØMMELSE",IF(AND(E15=2,F15&gt;=2,G15=2,H15=2,I15=2),"BESTÅET","IKKE BESTÅET"))))))</f>
        <v>IKKE TESTET</v>
      </c>
      <c r="S15" s="2"/>
      <c r="T15" s="2"/>
      <c r="U15" s="2"/>
    </row>
    <row r="16" spans="1:21">
      <c r="A16" s="2" t="s">
        <v>141</v>
      </c>
      <c r="B16" s="2" t="s">
        <v>44</v>
      </c>
      <c r="C16" s="2" t="s">
        <v>142</v>
      </c>
      <c r="D16" s="2"/>
      <c r="E16" s="2"/>
      <c r="F16" s="2"/>
      <c r="G16" s="2"/>
      <c r="H16" s="2"/>
      <c r="I16" s="2"/>
      <c r="J16" s="2"/>
      <c r="K16" s="2"/>
      <c r="L16" s="2"/>
      <c r="M16" s="2"/>
      <c r="N16" s="2"/>
      <c r="O16" s="2"/>
      <c r="P16" s="2"/>
      <c r="Q16" s="2"/>
      <c r="R16" s="2" t="str">
        <f>IF(D16="","IKKE TESTET",IF(M16="","MANGLER BEDØMMELSE",IF(M16="Ja","KRITISK FEJL",IF('03 Testspørgsmål'!E16="UNANSWERABLE",IF(OR(F16="",L16=""),"MANGLER BEDØMMELSE",IF(AND(F16=3,L16="Ja"),"BESTÅET","IKKE BESTÅET")),IF(COUNT(E16:I16)&lt;5,"MANGLER BEDØMMELSE",IF(AND(E16=2,F16&gt;=2,G16=2,H16=2,I16=2),"BESTÅET","IKKE BESTÅET"))))))</f>
        <v>IKKE TESTET</v>
      </c>
      <c r="S16" s="2"/>
      <c r="T16" s="2"/>
      <c r="U16" s="2"/>
    </row>
    <row r="17" spans="1:21" ht="28.5">
      <c r="A17" s="2" t="s">
        <v>143</v>
      </c>
      <c r="B17" s="2" t="s">
        <v>44</v>
      </c>
      <c r="C17" s="2" t="s">
        <v>144</v>
      </c>
      <c r="D17" s="2"/>
      <c r="E17" s="2"/>
      <c r="F17" s="2"/>
      <c r="G17" s="2"/>
      <c r="H17" s="2"/>
      <c r="I17" s="2"/>
      <c r="J17" s="2"/>
      <c r="K17" s="2"/>
      <c r="L17" s="2"/>
      <c r="M17" s="2"/>
      <c r="N17" s="2"/>
      <c r="O17" s="2"/>
      <c r="P17" s="2"/>
      <c r="Q17" s="2"/>
      <c r="R17" s="2" t="str">
        <f>IF(D17="","IKKE TESTET",IF(M17="","MANGLER BEDØMMELSE",IF(M17="Ja","KRITISK FEJL",IF('03 Testspørgsmål'!E17="UNANSWERABLE",IF(OR(F17="",L17=""),"MANGLER BEDØMMELSE",IF(AND(F17=3,L17="Ja"),"BESTÅET","IKKE BESTÅET")),IF(COUNT(E17:I17)&lt;5,"MANGLER BEDØMMELSE",IF(AND(E17=2,F17&gt;=2,G17=2,H17=2,I17=2),"BESTÅET","IKKE BESTÅET"))))))</f>
        <v>IKKE TESTET</v>
      </c>
      <c r="S17" s="2"/>
      <c r="T17" s="2"/>
      <c r="U17" s="2"/>
    </row>
    <row r="18" spans="1:21" ht="28.5">
      <c r="A18" s="2" t="s">
        <v>146</v>
      </c>
      <c r="B18" s="2" t="s">
        <v>49</v>
      </c>
      <c r="C18" s="2" t="s">
        <v>147</v>
      </c>
      <c r="D18" s="2"/>
      <c r="E18" s="2"/>
      <c r="F18" s="2"/>
      <c r="G18" s="2"/>
      <c r="H18" s="2"/>
      <c r="I18" s="2"/>
      <c r="J18" s="2"/>
      <c r="K18" s="2"/>
      <c r="L18" s="2"/>
      <c r="M18" s="2"/>
      <c r="N18" s="2"/>
      <c r="O18" s="2"/>
      <c r="P18" s="2"/>
      <c r="Q18" s="2"/>
      <c r="R18" s="2" t="str">
        <f>IF(D18="","IKKE TESTET",IF(M18="","MANGLER BEDØMMELSE",IF(M18="Ja","KRITISK FEJL",IF('03 Testspørgsmål'!E18="UNANSWERABLE",IF(OR(F18="",L18=""),"MANGLER BEDØMMELSE",IF(AND(F18=3,L18="Ja"),"BESTÅET","IKKE BESTÅET")),IF(COUNT(E18:I18)&lt;5,"MANGLER BEDØMMELSE",IF(AND(E18=2,F18&gt;=2,G18=2,H18=2,I18=2),"BESTÅET","IKKE BESTÅET"))))))</f>
        <v>IKKE TESTET</v>
      </c>
      <c r="S18" s="2"/>
      <c r="T18" s="2"/>
      <c r="U18" s="2"/>
    </row>
    <row r="19" spans="1:21" ht="28.5">
      <c r="A19" s="2" t="s">
        <v>149</v>
      </c>
      <c r="B19" s="2" t="s">
        <v>49</v>
      </c>
      <c r="C19" s="2" t="s">
        <v>150</v>
      </c>
      <c r="D19" s="2"/>
      <c r="E19" s="2"/>
      <c r="F19" s="2"/>
      <c r="G19" s="2"/>
      <c r="H19" s="2"/>
      <c r="I19" s="2"/>
      <c r="J19" s="2"/>
      <c r="K19" s="2"/>
      <c r="L19" s="2"/>
      <c r="M19" s="2"/>
      <c r="N19" s="2"/>
      <c r="O19" s="2"/>
      <c r="P19" s="2"/>
      <c r="Q19" s="2"/>
      <c r="R19" s="2" t="str">
        <f>IF(D19="","IKKE TESTET",IF(M19="","MANGLER BEDØMMELSE",IF(M19="Ja","KRITISK FEJL",IF('03 Testspørgsmål'!E19="UNANSWERABLE",IF(OR(F19="",L19=""),"MANGLER BEDØMMELSE",IF(AND(F19=3,L19="Ja"),"BESTÅET","IKKE BESTÅET")),IF(COUNT(E19:I19)&lt;5,"MANGLER BEDØMMELSE",IF(AND(E19=2,F19&gt;=2,G19=2,H19=2,I19=2),"BESTÅET","IKKE BESTÅET"))))))</f>
        <v>IKKE TESTET</v>
      </c>
      <c r="S19" s="2"/>
      <c r="T19" s="2"/>
      <c r="U19" s="2"/>
    </row>
    <row r="20" spans="1:21" ht="42.75">
      <c r="A20" s="2" t="s">
        <v>152</v>
      </c>
      <c r="B20" s="2" t="s">
        <v>49</v>
      </c>
      <c r="C20" s="2" t="s">
        <v>153</v>
      </c>
      <c r="D20" s="2"/>
      <c r="E20" s="2"/>
      <c r="F20" s="2"/>
      <c r="G20" s="2"/>
      <c r="H20" s="2"/>
      <c r="I20" s="2"/>
      <c r="J20" s="2"/>
      <c r="K20" s="2"/>
      <c r="L20" s="2"/>
      <c r="M20" s="2"/>
      <c r="N20" s="2"/>
      <c r="O20" s="2"/>
      <c r="P20" s="2"/>
      <c r="Q20" s="2"/>
      <c r="R20" s="2" t="str">
        <f>IF(D20="","IKKE TESTET",IF(M20="","MANGLER BEDØMMELSE",IF(M20="Ja","KRITISK FEJL",IF('03 Testspørgsmål'!E20="UNANSWERABLE",IF(OR(F20="",L20=""),"MANGLER BEDØMMELSE",IF(AND(F20=3,L20="Ja"),"BESTÅET","IKKE BESTÅET")),IF(COUNT(E20:I20)&lt;5,"MANGLER BEDØMMELSE",IF(AND(E20=2,F20&gt;=2,G20=2,H20=2,I20=2),"BESTÅET","IKKE BESTÅET"))))))</f>
        <v>IKKE TESTET</v>
      </c>
      <c r="S20" s="2"/>
      <c r="T20" s="2"/>
      <c r="U20" s="2"/>
    </row>
    <row r="21" spans="1:21">
      <c r="A21" s="2" t="s">
        <v>155</v>
      </c>
      <c r="B21" s="2" t="s">
        <v>49</v>
      </c>
      <c r="C21" s="2" t="s">
        <v>156</v>
      </c>
      <c r="D21" s="2"/>
      <c r="E21" s="2"/>
      <c r="F21" s="2"/>
      <c r="G21" s="2"/>
      <c r="H21" s="2"/>
      <c r="I21" s="2"/>
      <c r="J21" s="2"/>
      <c r="K21" s="2"/>
      <c r="L21" s="2"/>
      <c r="M21" s="2"/>
      <c r="N21" s="2"/>
      <c r="O21" s="2"/>
      <c r="P21" s="2"/>
      <c r="Q21" s="2"/>
      <c r="R21" s="2" t="str">
        <f>IF(D21="","IKKE TESTET",IF(M21="","MANGLER BEDØMMELSE",IF(M21="Ja","KRITISK FEJL",IF('03 Testspørgsmål'!E21="UNANSWERABLE",IF(OR(F21="",L21=""),"MANGLER BEDØMMELSE",IF(AND(F21=3,L21="Ja"),"BESTÅET","IKKE BESTÅET")),IF(COUNT(E21:I21)&lt;5,"MANGLER BEDØMMELSE",IF(AND(E21=2,F21&gt;=2,G21=2,H21=2,I21=2),"BESTÅET","IKKE BESTÅET"))))))</f>
        <v>IKKE TESTET</v>
      </c>
      <c r="S21" s="2"/>
      <c r="T21" s="2"/>
      <c r="U21" s="2"/>
    </row>
    <row r="22" spans="1:21" ht="28.5">
      <c r="A22" s="2" t="s">
        <v>159</v>
      </c>
      <c r="B22" s="2" t="s">
        <v>49</v>
      </c>
      <c r="C22" s="2" t="s">
        <v>160</v>
      </c>
      <c r="D22" s="2"/>
      <c r="E22" s="2"/>
      <c r="F22" s="2"/>
      <c r="G22" s="2"/>
      <c r="H22" s="2"/>
      <c r="I22" s="2"/>
      <c r="J22" s="2"/>
      <c r="K22" s="2"/>
      <c r="L22" s="2"/>
      <c r="M22" s="2"/>
      <c r="N22" s="2"/>
      <c r="O22" s="2"/>
      <c r="P22" s="2"/>
      <c r="Q22" s="2"/>
      <c r="R22" s="2" t="str">
        <f>IF(D22="","IKKE TESTET",IF(M22="","MANGLER BEDØMMELSE",IF(M22="Ja","KRITISK FEJL",IF('03 Testspørgsmål'!E22="UNANSWERABLE",IF(OR(F22="",L22=""),"MANGLER BEDØMMELSE",IF(AND(F22=3,L22="Ja"),"BESTÅET","IKKE BESTÅET")),IF(COUNT(E22:I22)&lt;5,"MANGLER BEDØMMELSE",IF(AND(E22=2,F22&gt;=2,G22=2,H22=2,I22=2),"BESTÅET","IKKE BESTÅET"))))))</f>
        <v>IKKE TESTET</v>
      </c>
      <c r="S22" s="2"/>
      <c r="T22" s="2"/>
      <c r="U22" s="2"/>
    </row>
    <row r="23" spans="1:21" ht="28.5">
      <c r="A23" s="2" t="s">
        <v>162</v>
      </c>
      <c r="B23" s="2" t="s">
        <v>49</v>
      </c>
      <c r="C23" s="2" t="s">
        <v>163</v>
      </c>
      <c r="D23" s="2"/>
      <c r="E23" s="2"/>
      <c r="F23" s="2"/>
      <c r="G23" s="2"/>
      <c r="H23" s="2"/>
      <c r="I23" s="2"/>
      <c r="J23" s="2"/>
      <c r="K23" s="2"/>
      <c r="L23" s="2"/>
      <c r="M23" s="2"/>
      <c r="N23" s="2"/>
      <c r="O23" s="2"/>
      <c r="P23" s="2"/>
      <c r="Q23" s="2"/>
      <c r="R23" s="2" t="str">
        <f>IF(D23="","IKKE TESTET",IF(M23="","MANGLER BEDØMMELSE",IF(M23="Ja","KRITISK FEJL",IF('03 Testspørgsmål'!E23="UNANSWERABLE",IF(OR(F23="",L23=""),"MANGLER BEDØMMELSE",IF(AND(F23=3,L23="Ja"),"BESTÅET","IKKE BESTÅET")),IF(COUNT(E23:I23)&lt;5,"MANGLER BEDØMMELSE",IF(AND(E23=2,F23&gt;=2,G23=2,H23=2,I23=2),"BESTÅET","IKKE BESTÅET"))))))</f>
        <v>IKKE TESTET</v>
      </c>
      <c r="S23" s="2"/>
      <c r="T23" s="2"/>
      <c r="U23" s="2"/>
    </row>
    <row r="24" spans="1:21" ht="28.5">
      <c r="A24" s="2" t="s">
        <v>165</v>
      </c>
      <c r="B24" s="2" t="s">
        <v>49</v>
      </c>
      <c r="C24" s="2" t="s">
        <v>166</v>
      </c>
      <c r="D24" s="2"/>
      <c r="E24" s="2"/>
      <c r="F24" s="2"/>
      <c r="G24" s="2"/>
      <c r="H24" s="2"/>
      <c r="I24" s="2"/>
      <c r="J24" s="2"/>
      <c r="K24" s="2"/>
      <c r="L24" s="2"/>
      <c r="M24" s="2"/>
      <c r="N24" s="2"/>
      <c r="O24" s="2"/>
      <c r="P24" s="2"/>
      <c r="Q24" s="2"/>
      <c r="R24" s="2" t="str">
        <f>IF(D24="","IKKE TESTET",IF(M24="","MANGLER BEDØMMELSE",IF(M24="Ja","KRITISK FEJL",IF('03 Testspørgsmål'!E24="UNANSWERABLE",IF(OR(F24="",L24=""),"MANGLER BEDØMMELSE",IF(AND(F24=3,L24="Ja"),"BESTÅET","IKKE BESTÅET")),IF(COUNT(E24:I24)&lt;5,"MANGLER BEDØMMELSE",IF(AND(E24=2,F24&gt;=2,G24=2,H24=2,I24=2),"BESTÅET","IKKE BESTÅET"))))))</f>
        <v>IKKE TESTET</v>
      </c>
      <c r="S24" s="2"/>
      <c r="T24" s="2"/>
      <c r="U24" s="2"/>
    </row>
    <row r="25" spans="1:21" ht="28.5">
      <c r="A25" s="2" t="s">
        <v>167</v>
      </c>
      <c r="B25" s="2" t="s">
        <v>54</v>
      </c>
      <c r="C25" s="2" t="s">
        <v>168</v>
      </c>
      <c r="D25" s="2"/>
      <c r="E25" s="2"/>
      <c r="F25" s="2"/>
      <c r="G25" s="2"/>
      <c r="H25" s="2"/>
      <c r="I25" s="2"/>
      <c r="J25" s="2"/>
      <c r="K25" s="2"/>
      <c r="L25" s="2"/>
      <c r="M25" s="2"/>
      <c r="N25" s="2"/>
      <c r="O25" s="2"/>
      <c r="P25" s="2"/>
      <c r="Q25" s="2"/>
      <c r="R25" s="2" t="str">
        <f>IF(D25="","IKKE TESTET",IF(M25="","MANGLER BEDØMMELSE",IF(M25="Ja","KRITISK FEJL",IF('03 Testspørgsmål'!E25="UNANSWERABLE",IF(OR(F25="",L25=""),"MANGLER BEDØMMELSE",IF(AND(F25=3,L25="Ja"),"BESTÅET","IKKE BESTÅET")),IF(COUNT(E25:I25)&lt;5,"MANGLER BEDØMMELSE",IF(AND(E25=2,F25&gt;=2,G25=2,H25=2,I25=2),"BESTÅET","IKKE BESTÅET"))))))</f>
        <v>IKKE TESTET</v>
      </c>
      <c r="S25" s="2"/>
      <c r="T25" s="2"/>
      <c r="U25" s="2"/>
    </row>
    <row r="26" spans="1:21" ht="28.5">
      <c r="A26" s="2" t="s">
        <v>170</v>
      </c>
      <c r="B26" s="2" t="s">
        <v>54</v>
      </c>
      <c r="C26" s="2" t="s">
        <v>171</v>
      </c>
      <c r="D26" s="2"/>
      <c r="E26" s="2"/>
      <c r="F26" s="2"/>
      <c r="G26" s="2"/>
      <c r="H26" s="2"/>
      <c r="I26" s="2"/>
      <c r="J26" s="2"/>
      <c r="K26" s="2"/>
      <c r="L26" s="2"/>
      <c r="M26" s="2"/>
      <c r="N26" s="2"/>
      <c r="O26" s="2"/>
      <c r="P26" s="2"/>
      <c r="Q26" s="2"/>
      <c r="R26" s="2" t="str">
        <f>IF(D26="","IKKE TESTET",IF(M26="","MANGLER BEDØMMELSE",IF(M26="Ja","KRITISK FEJL",IF('03 Testspørgsmål'!E26="UNANSWERABLE",IF(OR(F26="",L26=""),"MANGLER BEDØMMELSE",IF(AND(F26=3,L26="Ja"),"BESTÅET","IKKE BESTÅET")),IF(COUNT(E26:I26)&lt;5,"MANGLER BEDØMMELSE",IF(AND(E26=2,F26&gt;=2,G26=2,H26=2,I26=2),"BESTÅET","IKKE BESTÅET"))))))</f>
        <v>IKKE TESTET</v>
      </c>
      <c r="S26" s="2"/>
      <c r="T26" s="2"/>
      <c r="U26" s="2"/>
    </row>
    <row r="27" spans="1:21" ht="28.5">
      <c r="A27" s="2" t="s">
        <v>173</v>
      </c>
      <c r="B27" s="2" t="s">
        <v>54</v>
      </c>
      <c r="C27" s="2" t="s">
        <v>174</v>
      </c>
      <c r="D27" s="2"/>
      <c r="E27" s="2"/>
      <c r="F27" s="2"/>
      <c r="G27" s="2"/>
      <c r="H27" s="2"/>
      <c r="I27" s="2"/>
      <c r="J27" s="2"/>
      <c r="K27" s="2"/>
      <c r="L27" s="2"/>
      <c r="M27" s="2"/>
      <c r="N27" s="2"/>
      <c r="O27" s="2"/>
      <c r="P27" s="2"/>
      <c r="Q27" s="2"/>
      <c r="R27" s="2" t="str">
        <f>IF(D27="","IKKE TESTET",IF(M27="","MANGLER BEDØMMELSE",IF(M27="Ja","KRITISK FEJL",IF('03 Testspørgsmål'!E27="UNANSWERABLE",IF(OR(F27="",L27=""),"MANGLER BEDØMMELSE",IF(AND(F27=3,L27="Ja"),"BESTÅET","IKKE BESTÅET")),IF(COUNT(E27:I27)&lt;5,"MANGLER BEDØMMELSE",IF(AND(E27=2,F27&gt;=2,G27=2,H27=2,I27=2),"BESTÅET","IKKE BESTÅET"))))))</f>
        <v>IKKE TESTET</v>
      </c>
      <c r="S27" s="2"/>
      <c r="T27" s="2"/>
      <c r="U27" s="2"/>
    </row>
    <row r="28" spans="1:21" ht="28.5">
      <c r="A28" s="2" t="s">
        <v>175</v>
      </c>
      <c r="B28" s="2" t="s">
        <v>54</v>
      </c>
      <c r="C28" s="2" t="s">
        <v>176</v>
      </c>
      <c r="D28" s="2"/>
      <c r="E28" s="2"/>
      <c r="F28" s="2"/>
      <c r="G28" s="2"/>
      <c r="H28" s="2"/>
      <c r="I28" s="2"/>
      <c r="J28" s="2"/>
      <c r="K28" s="2"/>
      <c r="L28" s="2"/>
      <c r="M28" s="2"/>
      <c r="N28" s="2"/>
      <c r="O28" s="2"/>
      <c r="P28" s="2"/>
      <c r="Q28" s="2"/>
      <c r="R28" s="2" t="str">
        <f>IF(D28="","IKKE TESTET",IF(M28="","MANGLER BEDØMMELSE",IF(M28="Ja","KRITISK FEJL",IF('03 Testspørgsmål'!E28="UNANSWERABLE",IF(OR(F28="",L28=""),"MANGLER BEDØMMELSE",IF(AND(F28=3,L28="Ja"),"BESTÅET","IKKE BESTÅET")),IF(COUNT(E28:I28)&lt;5,"MANGLER BEDØMMELSE",IF(AND(E28=2,F28&gt;=2,G28=2,H28=2,I28=2),"BESTÅET","IKKE BESTÅET"))))))</f>
        <v>IKKE TESTET</v>
      </c>
      <c r="S28" s="2"/>
      <c r="T28" s="2"/>
      <c r="U28" s="2"/>
    </row>
    <row r="29" spans="1:21" ht="28.5">
      <c r="A29" s="2" t="s">
        <v>178</v>
      </c>
      <c r="B29" s="2" t="s">
        <v>54</v>
      </c>
      <c r="C29" s="2" t="s">
        <v>179</v>
      </c>
      <c r="D29" s="2"/>
      <c r="E29" s="2"/>
      <c r="F29" s="2"/>
      <c r="G29" s="2"/>
      <c r="H29" s="2"/>
      <c r="I29" s="2"/>
      <c r="J29" s="2"/>
      <c r="K29" s="2"/>
      <c r="L29" s="2"/>
      <c r="M29" s="2"/>
      <c r="N29" s="2"/>
      <c r="O29" s="2"/>
      <c r="P29" s="2"/>
      <c r="Q29" s="2"/>
      <c r="R29" s="2" t="str">
        <f>IF(D29="","IKKE TESTET",IF(M29="","MANGLER BEDØMMELSE",IF(M29="Ja","KRITISK FEJL",IF('03 Testspørgsmål'!E29="UNANSWERABLE",IF(OR(F29="",L29=""),"MANGLER BEDØMMELSE",IF(AND(F29=3,L29="Ja"),"BESTÅET","IKKE BESTÅET")),IF(COUNT(E29:I29)&lt;5,"MANGLER BEDØMMELSE",IF(AND(E29=2,F29&gt;=2,G29=2,H29=2,I29=2),"BESTÅET","IKKE BESTÅET"))))))</f>
        <v>IKKE TESTET</v>
      </c>
      <c r="S29" s="2"/>
      <c r="T29" s="2"/>
      <c r="U29" s="2"/>
    </row>
    <row r="30" spans="1:21" ht="28.5">
      <c r="A30" s="2" t="s">
        <v>181</v>
      </c>
      <c r="B30" s="2" t="s">
        <v>54</v>
      </c>
      <c r="C30" s="2" t="s">
        <v>182</v>
      </c>
      <c r="D30" s="2"/>
      <c r="E30" s="2"/>
      <c r="F30" s="2"/>
      <c r="G30" s="2"/>
      <c r="H30" s="2"/>
      <c r="I30" s="2"/>
      <c r="J30" s="2"/>
      <c r="K30" s="2"/>
      <c r="L30" s="2"/>
      <c r="M30" s="2"/>
      <c r="N30" s="2"/>
      <c r="O30" s="2"/>
      <c r="P30" s="2"/>
      <c r="Q30" s="2"/>
      <c r="R30" s="2" t="str">
        <f>IF(D30="","IKKE TESTET",IF(M30="","MANGLER BEDØMMELSE",IF(M30="Ja","KRITISK FEJL",IF('03 Testspørgsmål'!E30="UNANSWERABLE",IF(OR(F30="",L30=""),"MANGLER BEDØMMELSE",IF(AND(F30=3,L30="Ja"),"BESTÅET","IKKE BESTÅET")),IF(COUNT(E30:I30)&lt;5,"MANGLER BEDØMMELSE",IF(AND(E30=2,F30&gt;=2,G30=2,H30=2,I30=2),"BESTÅET","IKKE BESTÅET"))))))</f>
        <v>IKKE TESTET</v>
      </c>
      <c r="S30" s="2"/>
      <c r="T30" s="2"/>
      <c r="U30" s="2"/>
    </row>
    <row r="31" spans="1:21" ht="28.5">
      <c r="A31" s="2" t="s">
        <v>184</v>
      </c>
      <c r="B31" s="2" t="s">
        <v>54</v>
      </c>
      <c r="C31" s="2" t="s">
        <v>185</v>
      </c>
      <c r="D31" s="2"/>
      <c r="E31" s="2"/>
      <c r="F31" s="2"/>
      <c r="G31" s="2"/>
      <c r="H31" s="2"/>
      <c r="I31" s="2"/>
      <c r="J31" s="2"/>
      <c r="K31" s="2"/>
      <c r="L31" s="2"/>
      <c r="M31" s="2"/>
      <c r="N31" s="2"/>
      <c r="O31" s="2"/>
      <c r="P31" s="2"/>
      <c r="Q31" s="2"/>
      <c r="R31" s="2" t="str">
        <f>IF(D31="","IKKE TESTET",IF(M31="","MANGLER BEDØMMELSE",IF(M31="Ja","KRITISK FEJL",IF('03 Testspørgsmål'!E31="UNANSWERABLE",IF(OR(F31="",L31=""),"MANGLER BEDØMMELSE",IF(AND(F31=3,L31="Ja"),"BESTÅET","IKKE BESTÅET")),IF(COUNT(E31:I31)&lt;5,"MANGLER BEDØMMELSE",IF(AND(E31=2,F31&gt;=2,G31=2,H31=2,I31=2),"BESTÅET","IKKE BESTÅET"))))))</f>
        <v>IKKE TESTET</v>
      </c>
      <c r="S31" s="2"/>
      <c r="T31" s="2"/>
      <c r="U31" s="2"/>
    </row>
    <row r="32" spans="1:21" ht="28.5">
      <c r="A32" s="2" t="s">
        <v>186</v>
      </c>
      <c r="B32" s="2" t="s">
        <v>54</v>
      </c>
      <c r="C32" s="2" t="s">
        <v>187</v>
      </c>
      <c r="D32" s="2"/>
      <c r="E32" s="2"/>
      <c r="F32" s="2"/>
      <c r="G32" s="2"/>
      <c r="H32" s="2"/>
      <c r="I32" s="2"/>
      <c r="J32" s="2"/>
      <c r="K32" s="2"/>
      <c r="L32" s="2"/>
      <c r="M32" s="2"/>
      <c r="N32" s="2"/>
      <c r="O32" s="2"/>
      <c r="P32" s="2"/>
      <c r="Q32" s="2"/>
      <c r="R32" s="2" t="str">
        <f>IF(D32="","IKKE TESTET",IF(M32="","MANGLER BEDØMMELSE",IF(M32="Ja","KRITISK FEJL",IF('03 Testspørgsmål'!E32="UNANSWERABLE",IF(OR(F32="",L32=""),"MANGLER BEDØMMELSE",IF(AND(F32=3,L32="Ja"),"BESTÅET","IKKE BESTÅET")),IF(COUNT(E32:I32)&lt;5,"MANGLER BEDØMMELSE",IF(AND(E32=2,F32&gt;=2,G32=2,H32=2,I32=2),"BESTÅET","IKKE BESTÅET"))))))</f>
        <v>IKKE TESTET</v>
      </c>
      <c r="S32" s="2"/>
      <c r="T32" s="2"/>
      <c r="U32" s="2"/>
    </row>
    <row r="33" spans="1:21">
      <c r="A33" s="2" t="s">
        <v>188</v>
      </c>
      <c r="B33" s="2" t="s">
        <v>59</v>
      </c>
      <c r="C33" s="2" t="s">
        <v>189</v>
      </c>
      <c r="D33" s="2"/>
      <c r="E33" s="2"/>
      <c r="F33" s="2"/>
      <c r="G33" s="2"/>
      <c r="H33" s="2"/>
      <c r="I33" s="2"/>
      <c r="J33" s="2"/>
      <c r="K33" s="2"/>
      <c r="L33" s="2"/>
      <c r="M33" s="2"/>
      <c r="N33" s="2"/>
      <c r="O33" s="2"/>
      <c r="P33" s="2"/>
      <c r="Q33" s="2"/>
      <c r="R33" s="2" t="str">
        <f>IF(D33="","IKKE TESTET",IF(M33="","MANGLER BEDØMMELSE",IF(M33="Ja","KRITISK FEJL",IF('03 Testspørgsmål'!E33="UNANSWERABLE",IF(OR(F33="",L33=""),"MANGLER BEDØMMELSE",IF(AND(F33=3,L33="Ja"),"BESTÅET","IKKE BESTÅET")),IF(COUNT(E33:I33)&lt;5,"MANGLER BEDØMMELSE",IF(AND(E33=2,F33&gt;=2,G33=2,H33=2,I33=2),"BESTÅET","IKKE BESTÅET"))))))</f>
        <v>IKKE TESTET</v>
      </c>
      <c r="S33" s="2"/>
      <c r="T33" s="2"/>
      <c r="U33" s="2"/>
    </row>
    <row r="34" spans="1:21">
      <c r="A34" s="2" t="s">
        <v>191</v>
      </c>
      <c r="B34" s="2" t="s">
        <v>59</v>
      </c>
      <c r="C34" s="2" t="s">
        <v>192</v>
      </c>
      <c r="D34" s="2"/>
      <c r="E34" s="2"/>
      <c r="F34" s="2"/>
      <c r="G34" s="2"/>
      <c r="H34" s="2"/>
      <c r="I34" s="2"/>
      <c r="J34" s="2"/>
      <c r="K34" s="2"/>
      <c r="L34" s="2"/>
      <c r="M34" s="2"/>
      <c r="N34" s="2"/>
      <c r="O34" s="2"/>
      <c r="P34" s="2"/>
      <c r="Q34" s="2"/>
      <c r="R34" s="2" t="str">
        <f>IF(D34="","IKKE TESTET",IF(M34="","MANGLER BEDØMMELSE",IF(M34="Ja","KRITISK FEJL",IF('03 Testspørgsmål'!E34="UNANSWERABLE",IF(OR(F34="",L34=""),"MANGLER BEDØMMELSE",IF(AND(F34=3,L34="Ja"),"BESTÅET","IKKE BESTÅET")),IF(COUNT(E34:I34)&lt;5,"MANGLER BEDØMMELSE",IF(AND(E34=2,F34&gt;=2,G34=2,H34=2,I34=2),"BESTÅET","IKKE BESTÅET"))))))</f>
        <v>IKKE TESTET</v>
      </c>
      <c r="S34" s="2"/>
      <c r="T34" s="2"/>
      <c r="U34" s="2"/>
    </row>
    <row r="35" spans="1:21" ht="28.5">
      <c r="A35" s="2" t="s">
        <v>193</v>
      </c>
      <c r="B35" s="2" t="s">
        <v>59</v>
      </c>
      <c r="C35" s="2" t="s">
        <v>194</v>
      </c>
      <c r="D35" s="2"/>
      <c r="E35" s="2"/>
      <c r="F35" s="2"/>
      <c r="G35" s="2"/>
      <c r="H35" s="2"/>
      <c r="I35" s="2"/>
      <c r="J35" s="2"/>
      <c r="K35" s="2"/>
      <c r="L35" s="2"/>
      <c r="M35" s="2"/>
      <c r="N35" s="2"/>
      <c r="O35" s="2"/>
      <c r="P35" s="2"/>
      <c r="Q35" s="2"/>
      <c r="R35" s="2" t="str">
        <f>IF(D35="","IKKE TESTET",IF(M35="","MANGLER BEDØMMELSE",IF(M35="Ja","KRITISK FEJL",IF('03 Testspørgsmål'!E35="UNANSWERABLE",IF(OR(F35="",L35=""),"MANGLER BEDØMMELSE",IF(AND(F35=3,L35="Ja"),"BESTÅET","IKKE BESTÅET")),IF(COUNT(E35:I35)&lt;5,"MANGLER BEDØMMELSE",IF(AND(E35=2,F35&gt;=2,G35=2,H35=2,I35=2),"BESTÅET","IKKE BESTÅET"))))))</f>
        <v>IKKE TESTET</v>
      </c>
      <c r="S35" s="2"/>
      <c r="T35" s="2"/>
      <c r="U35" s="2"/>
    </row>
    <row r="36" spans="1:21" ht="28.5">
      <c r="A36" s="2" t="s">
        <v>195</v>
      </c>
      <c r="B36" s="2" t="s">
        <v>59</v>
      </c>
      <c r="C36" s="2" t="s">
        <v>196</v>
      </c>
      <c r="D36" s="2"/>
      <c r="E36" s="2"/>
      <c r="F36" s="2"/>
      <c r="G36" s="2"/>
      <c r="H36" s="2"/>
      <c r="I36" s="2"/>
      <c r="J36" s="2"/>
      <c r="K36" s="2"/>
      <c r="L36" s="2"/>
      <c r="M36" s="2"/>
      <c r="N36" s="2"/>
      <c r="O36" s="2"/>
      <c r="P36" s="2"/>
      <c r="Q36" s="2"/>
      <c r="R36" s="2" t="str">
        <f>IF(D36="","IKKE TESTET",IF(M36="","MANGLER BEDØMMELSE",IF(M36="Ja","KRITISK FEJL",IF('03 Testspørgsmål'!E36="UNANSWERABLE",IF(OR(F36="",L36=""),"MANGLER BEDØMMELSE",IF(AND(F36=3,L36="Ja"),"BESTÅET","IKKE BESTÅET")),IF(COUNT(E36:I36)&lt;5,"MANGLER BEDØMMELSE",IF(AND(E36=2,F36&gt;=2,G36=2,H36=2,I36=2),"BESTÅET","IKKE BESTÅET"))))))</f>
        <v>IKKE TESTET</v>
      </c>
      <c r="S36" s="2"/>
      <c r="T36" s="2"/>
      <c r="U36" s="2"/>
    </row>
    <row r="37" spans="1:21">
      <c r="A37" s="2" t="s">
        <v>198</v>
      </c>
      <c r="B37" s="2" t="s">
        <v>65</v>
      </c>
      <c r="C37" s="2" t="s">
        <v>199</v>
      </c>
      <c r="D37" s="2"/>
      <c r="E37" s="2"/>
      <c r="F37" s="2"/>
      <c r="G37" s="2"/>
      <c r="H37" s="2"/>
      <c r="I37" s="2"/>
      <c r="J37" s="2"/>
      <c r="K37" s="2"/>
      <c r="L37" s="2"/>
      <c r="M37" s="2"/>
      <c r="N37" s="2"/>
      <c r="O37" s="2"/>
      <c r="P37" s="2"/>
      <c r="Q37" s="2"/>
      <c r="R37" s="2" t="str">
        <f>IF(D37="","IKKE TESTET",IF(M37="","MANGLER BEDØMMELSE",IF(M37="Ja","KRITISK FEJL",IF('03 Testspørgsmål'!E37="UNANSWERABLE",IF(OR(F37="",L37=""),"MANGLER BEDØMMELSE",IF(AND(F37=3,L37="Ja"),"BESTÅET","IKKE BESTÅET")),IF(COUNT(E37:I37)&lt;5,"MANGLER BEDØMMELSE",IF(AND(E37=2,F37&gt;=2,G37=2,H37=2,I37=2),"BESTÅET","IKKE BESTÅET"))))))</f>
        <v>IKKE TESTET</v>
      </c>
      <c r="S37" s="2"/>
      <c r="T37" s="2"/>
      <c r="U37" s="2"/>
    </row>
    <row r="38" spans="1:21" ht="28.5">
      <c r="A38" s="2" t="s">
        <v>200</v>
      </c>
      <c r="B38" s="2" t="s">
        <v>65</v>
      </c>
      <c r="C38" s="2" t="s">
        <v>201</v>
      </c>
      <c r="D38" s="2"/>
      <c r="E38" s="2"/>
      <c r="F38" s="2"/>
      <c r="G38" s="2"/>
      <c r="H38" s="2"/>
      <c r="I38" s="2"/>
      <c r="J38" s="2"/>
      <c r="K38" s="2"/>
      <c r="L38" s="2"/>
      <c r="M38" s="2"/>
      <c r="N38" s="2"/>
      <c r="O38" s="2"/>
      <c r="P38" s="2"/>
      <c r="Q38" s="2"/>
      <c r="R38" s="2" t="str">
        <f>IF(D38="","IKKE TESTET",IF(M38="","MANGLER BEDØMMELSE",IF(M38="Ja","KRITISK FEJL",IF('03 Testspørgsmål'!E38="UNANSWERABLE",IF(OR(F38="",L38=""),"MANGLER BEDØMMELSE",IF(AND(F38=3,L38="Ja"),"BESTÅET","IKKE BESTÅET")),IF(COUNT(E38:I38)&lt;5,"MANGLER BEDØMMELSE",IF(AND(E38=2,F38&gt;=2,G38=2,H38=2,I38=2),"BESTÅET","IKKE BESTÅET"))))))</f>
        <v>IKKE TESTET</v>
      </c>
      <c r="S38" s="2"/>
      <c r="T38" s="2"/>
      <c r="U38" s="2"/>
    </row>
    <row r="39" spans="1:21" ht="28.5">
      <c r="A39" s="2" t="s">
        <v>202</v>
      </c>
      <c r="B39" s="2" t="s">
        <v>65</v>
      </c>
      <c r="C39" s="2" t="s">
        <v>203</v>
      </c>
      <c r="D39" s="2"/>
      <c r="E39" s="2"/>
      <c r="F39" s="2"/>
      <c r="G39" s="2"/>
      <c r="H39" s="2"/>
      <c r="I39" s="2"/>
      <c r="J39" s="2"/>
      <c r="K39" s="2"/>
      <c r="L39" s="2"/>
      <c r="M39" s="2"/>
      <c r="N39" s="2"/>
      <c r="O39" s="2"/>
      <c r="P39" s="2"/>
      <c r="Q39" s="2"/>
      <c r="R39" s="2" t="str">
        <f>IF(D39="","IKKE TESTET",IF(M39="","MANGLER BEDØMMELSE",IF(M39="Ja","KRITISK FEJL",IF('03 Testspørgsmål'!E39="UNANSWERABLE",IF(OR(F39="",L39=""),"MANGLER BEDØMMELSE",IF(AND(F39=3,L39="Ja"),"BESTÅET","IKKE BESTÅET")),IF(COUNT(E39:I39)&lt;5,"MANGLER BEDØMMELSE",IF(AND(E39=2,F39&gt;=2,G39=2,H39=2,I39=2),"BESTÅET","IKKE BESTÅET"))))))</f>
        <v>IKKE TESTET</v>
      </c>
      <c r="S39" s="2"/>
      <c r="T39" s="2"/>
      <c r="U39" s="2"/>
    </row>
    <row r="40" spans="1:21">
      <c r="A40" s="2" t="s">
        <v>205</v>
      </c>
      <c r="B40" s="2" t="s">
        <v>65</v>
      </c>
      <c r="C40" s="2" t="s">
        <v>206</v>
      </c>
      <c r="D40" s="2"/>
      <c r="E40" s="2"/>
      <c r="F40" s="2"/>
      <c r="G40" s="2"/>
      <c r="H40" s="2"/>
      <c r="I40" s="2"/>
      <c r="J40" s="2"/>
      <c r="K40" s="2"/>
      <c r="L40" s="2"/>
      <c r="M40" s="2"/>
      <c r="N40" s="2"/>
      <c r="O40" s="2"/>
      <c r="P40" s="2"/>
      <c r="Q40" s="2"/>
      <c r="R40" s="2" t="str">
        <f>IF(D40="","IKKE TESTET",IF(M40="","MANGLER BEDØMMELSE",IF(M40="Ja","KRITISK FEJL",IF('03 Testspørgsmål'!E40="UNANSWERABLE",IF(OR(F40="",L40=""),"MANGLER BEDØMMELSE",IF(AND(F40=3,L40="Ja"),"BESTÅET","IKKE BESTÅET")),IF(COUNT(E40:I40)&lt;5,"MANGLER BEDØMMELSE",IF(AND(E40=2,F40&gt;=2,G40=2,H40=2,I40=2),"BESTÅET","IKKE BESTÅET"))))))</f>
        <v>IKKE TESTET</v>
      </c>
      <c r="S40" s="2"/>
      <c r="T40" s="2"/>
      <c r="U40" s="2"/>
    </row>
    <row r="41" spans="1:21" ht="28.5">
      <c r="A41" s="2" t="s">
        <v>207</v>
      </c>
      <c r="B41" s="2" t="s">
        <v>65</v>
      </c>
      <c r="C41" s="2" t="s">
        <v>208</v>
      </c>
      <c r="D41" s="2"/>
      <c r="E41" s="2"/>
      <c r="F41" s="2"/>
      <c r="G41" s="2"/>
      <c r="H41" s="2"/>
      <c r="I41" s="2"/>
      <c r="J41" s="2"/>
      <c r="K41" s="2"/>
      <c r="L41" s="2"/>
      <c r="M41" s="2"/>
      <c r="N41" s="2"/>
      <c r="O41" s="2"/>
      <c r="P41" s="2"/>
      <c r="Q41" s="2"/>
      <c r="R41" s="2" t="str">
        <f>IF(D41="","IKKE TESTET",IF(M41="","MANGLER BEDØMMELSE",IF(M41="Ja","KRITISK FEJL",IF('03 Testspørgsmål'!E41="UNANSWERABLE",IF(OR(F41="",L41=""),"MANGLER BEDØMMELSE",IF(AND(F41=3,L41="Ja"),"BESTÅET","IKKE BESTÅET")),IF(COUNT(E41:I41)&lt;5,"MANGLER BEDØMMELSE",IF(AND(E41=2,F41&gt;=2,G41=2,H41=2,I41=2),"BESTÅET","IKKE BESTÅET"))))))</f>
        <v>IKKE TESTET</v>
      </c>
      <c r="S41" s="2"/>
      <c r="T41" s="2"/>
      <c r="U41" s="2"/>
    </row>
    <row r="42" spans="1:21" ht="28.5">
      <c r="A42" s="2" t="s">
        <v>210</v>
      </c>
      <c r="B42" s="2" t="s">
        <v>65</v>
      </c>
      <c r="C42" s="2" t="s">
        <v>211</v>
      </c>
      <c r="D42" s="2"/>
      <c r="E42" s="2"/>
      <c r="F42" s="2"/>
      <c r="G42" s="2"/>
      <c r="H42" s="2"/>
      <c r="I42" s="2"/>
      <c r="J42" s="2"/>
      <c r="K42" s="2"/>
      <c r="L42" s="2"/>
      <c r="M42" s="2"/>
      <c r="N42" s="2"/>
      <c r="O42" s="2"/>
      <c r="P42" s="2"/>
      <c r="Q42" s="2"/>
      <c r="R42" s="2" t="str">
        <f>IF(D42="","IKKE TESTET",IF(M42="","MANGLER BEDØMMELSE",IF(M42="Ja","KRITISK FEJL",IF('03 Testspørgsmål'!E42="UNANSWERABLE",IF(OR(F42="",L42=""),"MANGLER BEDØMMELSE",IF(AND(F42=3,L42="Ja"),"BESTÅET","IKKE BESTÅET")),IF(COUNT(E42:I42)&lt;5,"MANGLER BEDØMMELSE",IF(AND(E42=2,F42&gt;=2,G42=2,H42=2,I42=2),"BESTÅET","IKKE BESTÅET"))))))</f>
        <v>IKKE TESTET</v>
      </c>
      <c r="S42" s="2"/>
      <c r="T42" s="2"/>
      <c r="U42" s="2"/>
    </row>
    <row r="43" spans="1:21" ht="28.5">
      <c r="A43" s="2" t="s">
        <v>212</v>
      </c>
      <c r="B43" s="2" t="s">
        <v>65</v>
      </c>
      <c r="C43" s="2" t="s">
        <v>213</v>
      </c>
      <c r="D43" s="2"/>
      <c r="E43" s="2"/>
      <c r="F43" s="2"/>
      <c r="G43" s="2"/>
      <c r="H43" s="2"/>
      <c r="I43" s="2"/>
      <c r="J43" s="2"/>
      <c r="K43" s="2"/>
      <c r="L43" s="2"/>
      <c r="M43" s="2"/>
      <c r="N43" s="2"/>
      <c r="O43" s="2"/>
      <c r="P43" s="2"/>
      <c r="Q43" s="2"/>
      <c r="R43" s="2" t="str">
        <f>IF(D43="","IKKE TESTET",IF(M43="","MANGLER BEDØMMELSE",IF(M43="Ja","KRITISK FEJL",IF('03 Testspørgsmål'!E43="UNANSWERABLE",IF(OR(F43="",L43=""),"MANGLER BEDØMMELSE",IF(AND(F43=3,L43="Ja"),"BESTÅET","IKKE BESTÅET")),IF(COUNT(E43:I43)&lt;5,"MANGLER BEDØMMELSE",IF(AND(E43=2,F43&gt;=2,G43=2,H43=2,I43=2),"BESTÅET","IKKE BESTÅET"))))))</f>
        <v>IKKE TESTET</v>
      </c>
      <c r="S43" s="2"/>
      <c r="T43" s="2"/>
      <c r="U43" s="2"/>
    </row>
    <row r="44" spans="1:21">
      <c r="A44" s="2" t="s">
        <v>215</v>
      </c>
      <c r="B44" s="2" t="s">
        <v>69</v>
      </c>
      <c r="C44" s="2" t="s">
        <v>216</v>
      </c>
      <c r="D44" s="2"/>
      <c r="E44" s="2"/>
      <c r="F44" s="2"/>
      <c r="G44" s="2"/>
      <c r="H44" s="2"/>
      <c r="I44" s="2"/>
      <c r="J44" s="2"/>
      <c r="K44" s="2"/>
      <c r="L44" s="2"/>
      <c r="M44" s="2"/>
      <c r="N44" s="2"/>
      <c r="O44" s="2"/>
      <c r="P44" s="2"/>
      <c r="Q44" s="2"/>
      <c r="R44" s="2" t="str">
        <f>IF(D44="","IKKE TESTET",IF(M44="","MANGLER BEDØMMELSE",IF(M44="Ja","KRITISK FEJL",IF('03 Testspørgsmål'!E44="UNANSWERABLE",IF(OR(F44="",L44=""),"MANGLER BEDØMMELSE",IF(AND(F44=3,L44="Ja"),"BESTÅET","IKKE BESTÅET")),IF(COUNT(E44:I44)&lt;5,"MANGLER BEDØMMELSE",IF(AND(E44=2,F44&gt;=2,G44=2,H44=2,I44=2),"BESTÅET","IKKE BESTÅET"))))))</f>
        <v>IKKE TESTET</v>
      </c>
      <c r="S44" s="2"/>
      <c r="T44" s="2"/>
      <c r="U44" s="2"/>
    </row>
    <row r="45" spans="1:21" ht="28.5">
      <c r="A45" s="2" t="s">
        <v>217</v>
      </c>
      <c r="B45" s="2" t="s">
        <v>69</v>
      </c>
      <c r="C45" s="2" t="s">
        <v>218</v>
      </c>
      <c r="D45" s="2"/>
      <c r="E45" s="2"/>
      <c r="F45" s="2"/>
      <c r="G45" s="2"/>
      <c r="H45" s="2"/>
      <c r="I45" s="2"/>
      <c r="J45" s="2"/>
      <c r="K45" s="2"/>
      <c r="L45" s="2"/>
      <c r="M45" s="2"/>
      <c r="N45" s="2"/>
      <c r="O45" s="2"/>
      <c r="P45" s="2"/>
      <c r="Q45" s="2"/>
      <c r="R45" s="2" t="str">
        <f>IF(D45="","IKKE TESTET",IF(M45="","MANGLER BEDØMMELSE",IF(M45="Ja","KRITISK FEJL",IF('03 Testspørgsmål'!E45="UNANSWERABLE",IF(OR(F45="",L45=""),"MANGLER BEDØMMELSE",IF(AND(F45=3,L45="Ja"),"BESTÅET","IKKE BESTÅET")),IF(COUNT(E45:I45)&lt;5,"MANGLER BEDØMMELSE",IF(AND(E45=2,F45&gt;=2,G45=2,H45=2,I45=2),"BESTÅET","IKKE BESTÅET"))))))</f>
        <v>IKKE TESTET</v>
      </c>
      <c r="S45" s="2"/>
      <c r="T45" s="2"/>
      <c r="U45" s="2"/>
    </row>
    <row r="46" spans="1:21" ht="28.5">
      <c r="A46" s="2" t="s">
        <v>219</v>
      </c>
      <c r="B46" s="2" t="s">
        <v>69</v>
      </c>
      <c r="C46" s="2" t="s">
        <v>220</v>
      </c>
      <c r="D46" s="2"/>
      <c r="E46" s="2"/>
      <c r="F46" s="2"/>
      <c r="G46" s="2"/>
      <c r="H46" s="2"/>
      <c r="I46" s="2"/>
      <c r="J46" s="2"/>
      <c r="K46" s="2"/>
      <c r="L46" s="2"/>
      <c r="M46" s="2"/>
      <c r="N46" s="2"/>
      <c r="O46" s="2"/>
      <c r="P46" s="2"/>
      <c r="Q46" s="2"/>
      <c r="R46" s="2" t="str">
        <f>IF(D46="","IKKE TESTET",IF(M46="","MANGLER BEDØMMELSE",IF(M46="Ja","KRITISK FEJL",IF('03 Testspørgsmål'!E46="UNANSWERABLE",IF(OR(F46="",L46=""),"MANGLER BEDØMMELSE",IF(AND(F46=3,L46="Ja"),"BESTÅET","IKKE BESTÅET")),IF(COUNT(E46:I46)&lt;5,"MANGLER BEDØMMELSE",IF(AND(E46=2,F46&gt;=2,G46=2,H46=2,I46=2),"BESTÅET","IKKE BESTÅET"))))))</f>
        <v>IKKE TESTET</v>
      </c>
      <c r="S46" s="2"/>
      <c r="T46" s="2"/>
      <c r="U46" s="2"/>
    </row>
    <row r="47" spans="1:21" ht="28.5">
      <c r="A47" s="2" t="s">
        <v>222</v>
      </c>
      <c r="B47" s="2" t="s">
        <v>69</v>
      </c>
      <c r="C47" s="2" t="s">
        <v>223</v>
      </c>
      <c r="D47" s="2"/>
      <c r="E47" s="2"/>
      <c r="F47" s="2"/>
      <c r="G47" s="2"/>
      <c r="H47" s="2"/>
      <c r="I47" s="2"/>
      <c r="J47" s="2"/>
      <c r="K47" s="2"/>
      <c r="L47" s="2"/>
      <c r="M47" s="2"/>
      <c r="N47" s="2"/>
      <c r="O47" s="2"/>
      <c r="P47" s="2"/>
      <c r="Q47" s="2"/>
      <c r="R47" s="2" t="str">
        <f>IF(D47="","IKKE TESTET",IF(M47="","MANGLER BEDØMMELSE",IF(M47="Ja","KRITISK FEJL",IF('03 Testspørgsmål'!E47="UNANSWERABLE",IF(OR(F47="",L47=""),"MANGLER BEDØMMELSE",IF(AND(F47=3,L47="Ja"),"BESTÅET","IKKE BESTÅET")),IF(COUNT(E47:I47)&lt;5,"MANGLER BEDØMMELSE",IF(AND(E47=2,F47&gt;=2,G47=2,H47=2,I47=2),"BESTÅET","IKKE BESTÅET"))))))</f>
        <v>IKKE TESTET</v>
      </c>
      <c r="S47" s="2"/>
      <c r="T47" s="2"/>
      <c r="U47" s="2"/>
    </row>
    <row r="48" spans="1:21" ht="28.5">
      <c r="A48" s="2" t="s">
        <v>224</v>
      </c>
      <c r="B48" s="2" t="s">
        <v>69</v>
      </c>
      <c r="C48" s="2" t="s">
        <v>225</v>
      </c>
      <c r="D48" s="2"/>
      <c r="E48" s="2"/>
      <c r="F48" s="2"/>
      <c r="G48" s="2"/>
      <c r="H48" s="2"/>
      <c r="I48" s="2"/>
      <c r="J48" s="2"/>
      <c r="K48" s="2"/>
      <c r="L48" s="2"/>
      <c r="M48" s="2"/>
      <c r="N48" s="2"/>
      <c r="O48" s="2"/>
      <c r="P48" s="2"/>
      <c r="Q48" s="2"/>
      <c r="R48" s="2" t="str">
        <f>IF(D48="","IKKE TESTET",IF(M48="","MANGLER BEDØMMELSE",IF(M48="Ja","KRITISK FEJL",IF('03 Testspørgsmål'!E48="UNANSWERABLE",IF(OR(F48="",L48=""),"MANGLER BEDØMMELSE",IF(AND(F48=3,L48="Ja"),"BESTÅET","IKKE BESTÅET")),IF(COUNT(E48:I48)&lt;5,"MANGLER BEDØMMELSE",IF(AND(E48=2,F48&gt;=2,G48=2,H48=2,I48=2),"BESTÅET","IKKE BESTÅET"))))))</f>
        <v>IKKE TESTET</v>
      </c>
      <c r="S48" s="2"/>
      <c r="T48" s="2"/>
      <c r="U48" s="2"/>
    </row>
    <row r="49" spans="1:21" ht="28.5">
      <c r="A49" s="2" t="s">
        <v>226</v>
      </c>
      <c r="B49" s="2" t="s">
        <v>69</v>
      </c>
      <c r="C49" s="2" t="s">
        <v>227</v>
      </c>
      <c r="D49" s="2"/>
      <c r="E49" s="2"/>
      <c r="F49" s="2"/>
      <c r="G49" s="2"/>
      <c r="H49" s="2"/>
      <c r="I49" s="2"/>
      <c r="J49" s="2"/>
      <c r="K49" s="2"/>
      <c r="L49" s="2"/>
      <c r="M49" s="2"/>
      <c r="N49" s="2"/>
      <c r="O49" s="2"/>
      <c r="P49" s="2"/>
      <c r="Q49" s="2"/>
      <c r="R49" s="2" t="str">
        <f>IF(D49="","IKKE TESTET",IF(M49="","MANGLER BEDØMMELSE",IF(M49="Ja","KRITISK FEJL",IF('03 Testspørgsmål'!E49="UNANSWERABLE",IF(OR(F49="",L49=""),"MANGLER BEDØMMELSE",IF(AND(F49=3,L49="Ja"),"BESTÅET","IKKE BESTÅET")),IF(COUNT(E49:I49)&lt;5,"MANGLER BEDØMMELSE",IF(AND(E49=2,F49&gt;=2,G49=2,H49=2,I49=2),"BESTÅET","IKKE BESTÅET"))))))</f>
        <v>IKKE TESTET</v>
      </c>
      <c r="S49" s="2"/>
      <c r="T49" s="2"/>
      <c r="U49" s="2"/>
    </row>
    <row r="50" spans="1:21">
      <c r="A50" s="2" t="s">
        <v>228</v>
      </c>
      <c r="B50" s="2" t="s">
        <v>69</v>
      </c>
      <c r="C50" s="2" t="s">
        <v>229</v>
      </c>
      <c r="D50" s="2"/>
      <c r="E50" s="2"/>
      <c r="F50" s="2"/>
      <c r="G50" s="2"/>
      <c r="H50" s="2"/>
      <c r="I50" s="2"/>
      <c r="J50" s="2"/>
      <c r="K50" s="2"/>
      <c r="L50" s="2"/>
      <c r="M50" s="2"/>
      <c r="N50" s="2"/>
      <c r="O50" s="2"/>
      <c r="P50" s="2"/>
      <c r="Q50" s="2"/>
      <c r="R50" s="2" t="str">
        <f>IF(D50="","IKKE TESTET",IF(M50="","MANGLER BEDØMMELSE",IF(M50="Ja","KRITISK FEJL",IF('03 Testspørgsmål'!E50="UNANSWERABLE",IF(OR(F50="",L50=""),"MANGLER BEDØMMELSE",IF(AND(F50=3,L50="Ja"),"BESTÅET","IKKE BESTÅET")),IF(COUNT(E50:I50)&lt;5,"MANGLER BEDØMMELSE",IF(AND(E50=2,F50&gt;=2,G50=2,H50=2,I50=2),"BESTÅET","IKKE BESTÅET"))))))</f>
        <v>IKKE TESTET</v>
      </c>
      <c r="S50" s="2"/>
      <c r="T50" s="2"/>
      <c r="U50" s="2"/>
    </row>
    <row r="51" spans="1:21" ht="28.5">
      <c r="A51" s="2" t="s">
        <v>230</v>
      </c>
      <c r="B51" s="2" t="s">
        <v>72</v>
      </c>
      <c r="C51" s="2" t="s">
        <v>231</v>
      </c>
      <c r="D51" s="2"/>
      <c r="E51" s="2"/>
      <c r="F51" s="2"/>
      <c r="G51" s="2"/>
      <c r="H51" s="2"/>
      <c r="I51" s="2"/>
      <c r="J51" s="2"/>
      <c r="K51" s="2"/>
      <c r="L51" s="2"/>
      <c r="M51" s="2"/>
      <c r="N51" s="2"/>
      <c r="O51" s="2"/>
      <c r="P51" s="2"/>
      <c r="Q51" s="2"/>
      <c r="R51" s="2" t="str">
        <f>IF(D51="","IKKE TESTET",IF(M51="","MANGLER BEDØMMELSE",IF(M51="Ja","KRITISK FEJL",IF('03 Testspørgsmål'!E51="UNANSWERABLE",IF(OR(F51="",L51=""),"MANGLER BEDØMMELSE",IF(AND(F51=3,L51="Ja"),"BESTÅET","IKKE BESTÅET")),IF(COUNT(E51:I51)&lt;5,"MANGLER BEDØMMELSE",IF(AND(E51=2,F51&gt;=2,G51=2,H51=2,I51=2),"BESTÅET","IKKE BESTÅET"))))))</f>
        <v>IKKE TESTET</v>
      </c>
      <c r="S51" s="2"/>
      <c r="T51" s="2"/>
      <c r="U51" s="2"/>
    </row>
    <row r="52" spans="1:21" ht="28.5">
      <c r="A52" s="2" t="s">
        <v>232</v>
      </c>
      <c r="B52" s="2" t="s">
        <v>72</v>
      </c>
      <c r="C52" s="2" t="s">
        <v>233</v>
      </c>
      <c r="D52" s="2"/>
      <c r="E52" s="2"/>
      <c r="F52" s="2"/>
      <c r="G52" s="2"/>
      <c r="H52" s="2"/>
      <c r="I52" s="2"/>
      <c r="J52" s="2"/>
      <c r="K52" s="2"/>
      <c r="L52" s="2"/>
      <c r="M52" s="2"/>
      <c r="N52" s="2"/>
      <c r="O52" s="2"/>
      <c r="P52" s="2"/>
      <c r="Q52" s="2"/>
      <c r="R52" s="2" t="str">
        <f>IF(D52="","IKKE TESTET",IF(M52="","MANGLER BEDØMMELSE",IF(M52="Ja","KRITISK FEJL",IF('03 Testspørgsmål'!E52="UNANSWERABLE",IF(OR(F52="",L52=""),"MANGLER BEDØMMELSE",IF(AND(F52=3,L52="Ja"),"BESTÅET","IKKE BESTÅET")),IF(COUNT(E52:I52)&lt;5,"MANGLER BEDØMMELSE",IF(AND(E52=2,F52&gt;=2,G52=2,H52=2,I52=2),"BESTÅET","IKKE BESTÅET"))))))</f>
        <v>IKKE TESTET</v>
      </c>
      <c r="S52" s="2"/>
      <c r="T52" s="2"/>
      <c r="U52" s="2"/>
    </row>
    <row r="53" spans="1:21" ht="28.5">
      <c r="A53" s="2" t="s">
        <v>235</v>
      </c>
      <c r="B53" s="2" t="s">
        <v>72</v>
      </c>
      <c r="C53" s="2" t="s">
        <v>236</v>
      </c>
      <c r="D53" s="2"/>
      <c r="E53" s="2"/>
      <c r="F53" s="2"/>
      <c r="G53" s="2"/>
      <c r="H53" s="2"/>
      <c r="I53" s="2"/>
      <c r="J53" s="2"/>
      <c r="K53" s="2"/>
      <c r="L53" s="2"/>
      <c r="M53" s="2"/>
      <c r="N53" s="2"/>
      <c r="O53" s="2"/>
      <c r="P53" s="2"/>
      <c r="Q53" s="2"/>
      <c r="R53" s="2" t="str">
        <f>IF(D53="","IKKE TESTET",IF(M53="","MANGLER BEDØMMELSE",IF(M53="Ja","KRITISK FEJL",IF('03 Testspørgsmål'!E53="UNANSWERABLE",IF(OR(F53="",L53=""),"MANGLER BEDØMMELSE",IF(AND(F53=3,L53="Ja"),"BESTÅET","IKKE BESTÅET")),IF(COUNT(E53:I53)&lt;5,"MANGLER BEDØMMELSE",IF(AND(E53=2,F53&gt;=2,G53=2,H53=2,I53=2),"BESTÅET","IKKE BESTÅET"))))))</f>
        <v>IKKE TESTET</v>
      </c>
      <c r="S53" s="2"/>
      <c r="T53" s="2"/>
      <c r="U53" s="2"/>
    </row>
    <row r="54" spans="1:21" ht="28.5">
      <c r="A54" s="2" t="s">
        <v>238</v>
      </c>
      <c r="B54" s="2" t="s">
        <v>72</v>
      </c>
      <c r="C54" s="2" t="s">
        <v>239</v>
      </c>
      <c r="D54" s="2"/>
      <c r="E54" s="2"/>
      <c r="F54" s="2"/>
      <c r="G54" s="2"/>
      <c r="H54" s="2"/>
      <c r="I54" s="2"/>
      <c r="J54" s="2"/>
      <c r="K54" s="2"/>
      <c r="L54" s="2"/>
      <c r="M54" s="2"/>
      <c r="N54" s="2"/>
      <c r="O54" s="2"/>
      <c r="P54" s="2"/>
      <c r="Q54" s="2"/>
      <c r="R54" s="2" t="str">
        <f>IF(D54="","IKKE TESTET",IF(M54="","MANGLER BEDØMMELSE",IF(M54="Ja","KRITISK FEJL",IF('03 Testspørgsmål'!E54="UNANSWERABLE",IF(OR(F54="",L54=""),"MANGLER BEDØMMELSE",IF(AND(F54=3,L54="Ja"),"BESTÅET","IKKE BESTÅET")),IF(COUNT(E54:I54)&lt;5,"MANGLER BEDØMMELSE",IF(AND(E54=2,F54&gt;=2,G54=2,H54=2,I54=2),"BESTÅET","IKKE BESTÅET"))))))</f>
        <v>IKKE TESTET</v>
      </c>
      <c r="S54" s="2"/>
      <c r="T54" s="2"/>
      <c r="U54" s="2"/>
    </row>
    <row r="55" spans="1:21" ht="28.5">
      <c r="A55" s="2" t="s">
        <v>240</v>
      </c>
      <c r="B55" s="2" t="s">
        <v>72</v>
      </c>
      <c r="C55" s="2" t="s">
        <v>241</v>
      </c>
      <c r="D55" s="2"/>
      <c r="E55" s="2"/>
      <c r="F55" s="2"/>
      <c r="G55" s="2"/>
      <c r="H55" s="2"/>
      <c r="I55" s="2"/>
      <c r="J55" s="2"/>
      <c r="K55" s="2"/>
      <c r="L55" s="2"/>
      <c r="M55" s="2"/>
      <c r="N55" s="2"/>
      <c r="O55" s="2"/>
      <c r="P55" s="2"/>
      <c r="Q55" s="2"/>
      <c r="R55" s="2" t="str">
        <f>IF(D55="","IKKE TESTET",IF(M55="","MANGLER BEDØMMELSE",IF(M55="Ja","KRITISK FEJL",IF('03 Testspørgsmål'!E55="UNANSWERABLE",IF(OR(F55="",L55=""),"MANGLER BEDØMMELSE",IF(AND(F55=3,L55="Ja"),"BESTÅET","IKKE BESTÅET")),IF(COUNT(E55:I55)&lt;5,"MANGLER BEDØMMELSE",IF(AND(E55=2,F55&gt;=2,G55=2,H55=2,I55=2),"BESTÅET","IKKE BESTÅET"))))))</f>
        <v>IKKE TESTET</v>
      </c>
      <c r="S55" s="2"/>
      <c r="T55" s="2"/>
      <c r="U55" s="2"/>
    </row>
    <row r="56" spans="1:21">
      <c r="A56" s="2" t="s">
        <v>242</v>
      </c>
      <c r="B56" s="2" t="s">
        <v>72</v>
      </c>
      <c r="C56" s="2" t="s">
        <v>243</v>
      </c>
      <c r="D56" s="2"/>
      <c r="E56" s="2"/>
      <c r="F56" s="2"/>
      <c r="G56" s="2"/>
      <c r="H56" s="2"/>
      <c r="I56" s="2"/>
      <c r="J56" s="2"/>
      <c r="K56" s="2"/>
      <c r="L56" s="2"/>
      <c r="M56" s="2"/>
      <c r="N56" s="2"/>
      <c r="O56" s="2"/>
      <c r="P56" s="2"/>
      <c r="Q56" s="2"/>
      <c r="R56" s="2" t="str">
        <f>IF(D56="","IKKE TESTET",IF(M56="","MANGLER BEDØMMELSE",IF(M56="Ja","KRITISK FEJL",IF('03 Testspørgsmål'!E56="UNANSWERABLE",IF(OR(F56="",L56=""),"MANGLER BEDØMMELSE",IF(AND(F56=3,L56="Ja"),"BESTÅET","IKKE BESTÅET")),IF(COUNT(E56:I56)&lt;5,"MANGLER BEDØMMELSE",IF(AND(E56=2,F56&gt;=2,G56=2,H56=2,I56=2),"BESTÅET","IKKE BESTÅET"))))))</f>
        <v>IKKE TESTET</v>
      </c>
      <c r="S56" s="2"/>
      <c r="T56" s="2"/>
      <c r="U56" s="2"/>
    </row>
    <row r="57" spans="1:21" ht="28.5">
      <c r="A57" s="2" t="s">
        <v>244</v>
      </c>
      <c r="B57" s="2" t="s">
        <v>72</v>
      </c>
      <c r="C57" s="2" t="s">
        <v>245</v>
      </c>
      <c r="D57" s="2"/>
      <c r="E57" s="2"/>
      <c r="F57" s="2"/>
      <c r="G57" s="2"/>
      <c r="H57" s="2"/>
      <c r="I57" s="2"/>
      <c r="J57" s="2"/>
      <c r="K57" s="2"/>
      <c r="L57" s="2"/>
      <c r="M57" s="2"/>
      <c r="N57" s="2"/>
      <c r="O57" s="2"/>
      <c r="P57" s="2"/>
      <c r="Q57" s="2"/>
      <c r="R57" s="2" t="str">
        <f>IF(D57="","IKKE TESTET",IF(M57="","MANGLER BEDØMMELSE",IF(M57="Ja","KRITISK FEJL",IF('03 Testspørgsmål'!E57="UNANSWERABLE",IF(OR(F57="",L57=""),"MANGLER BEDØMMELSE",IF(AND(F57=3,L57="Ja"),"BESTÅET","IKKE BESTÅET")),IF(COUNT(E57:I57)&lt;5,"MANGLER BEDØMMELSE",IF(AND(E57=2,F57&gt;=2,G57=2,H57=2,I57=2),"BESTÅET","IKKE BESTÅET"))))))</f>
        <v>IKKE TESTET</v>
      </c>
      <c r="S57" s="2"/>
      <c r="T57" s="2"/>
      <c r="U57" s="2"/>
    </row>
    <row r="58" spans="1:21" ht="28.5">
      <c r="A58" s="2" t="s">
        <v>247</v>
      </c>
      <c r="B58" s="2" t="s">
        <v>36</v>
      </c>
      <c r="C58" s="2" t="s">
        <v>249</v>
      </c>
      <c r="D58" s="2"/>
      <c r="E58" s="2"/>
      <c r="F58" s="2"/>
      <c r="G58" s="2"/>
      <c r="H58" s="2"/>
      <c r="I58" s="2"/>
      <c r="J58" s="2"/>
      <c r="K58" s="2"/>
      <c r="L58" s="2"/>
      <c r="M58" s="2"/>
      <c r="N58" s="2"/>
      <c r="O58" s="2"/>
      <c r="P58" s="2"/>
      <c r="Q58" s="2"/>
      <c r="R58" s="2" t="str">
        <f>IF(D58="","IKKE TESTET",IF(M58="","MANGLER BEDØMMELSE",IF(M58="Ja","KRITISK FEJL",IF('03 Testspørgsmål'!E58="UNANSWERABLE",IF(OR(F58="",L58=""),"MANGLER BEDØMMELSE",IF(AND(F58=3,L58="Ja"),"BESTÅET","IKKE BESTÅET")),IF(COUNT(E58:I58)&lt;5,"MANGLER BEDØMMELSE",IF(AND(E58=2,F58&gt;=2,G58=2,H58=2,I58=2),"BESTÅET","IKKE BESTÅET"))))))</f>
        <v>IKKE TESTET</v>
      </c>
      <c r="S58" s="2"/>
      <c r="T58" s="2"/>
      <c r="U58" s="2"/>
    </row>
    <row r="59" spans="1:21">
      <c r="A59" s="2" t="s">
        <v>253</v>
      </c>
      <c r="B59" s="2" t="s">
        <v>44</v>
      </c>
      <c r="C59" s="2" t="s">
        <v>254</v>
      </c>
      <c r="D59" s="2"/>
      <c r="E59" s="2"/>
      <c r="F59" s="2"/>
      <c r="G59" s="2"/>
      <c r="H59" s="2"/>
      <c r="I59" s="2"/>
      <c r="J59" s="2"/>
      <c r="K59" s="2"/>
      <c r="L59" s="2"/>
      <c r="M59" s="2"/>
      <c r="N59" s="2"/>
      <c r="O59" s="2"/>
      <c r="P59" s="2"/>
      <c r="Q59" s="2"/>
      <c r="R59" s="2" t="str">
        <f>IF(D59="","IKKE TESTET",IF(M59="","MANGLER BEDØMMELSE",IF(M59="Ja","KRITISK FEJL",IF('03 Testspørgsmål'!E59="UNANSWERABLE",IF(OR(F59="",L59=""),"MANGLER BEDØMMELSE",IF(AND(F59=3,L59="Ja"),"BESTÅET","IKKE BESTÅET")),IF(COUNT(E59:I59)&lt;5,"MANGLER BEDØMMELSE",IF(AND(E59=2,F59&gt;=2,G59=2,H59=2,I59=2),"BESTÅET","IKKE BESTÅET"))))))</f>
        <v>IKKE TESTET</v>
      </c>
      <c r="S59" s="2"/>
      <c r="T59" s="2"/>
      <c r="U59" s="2"/>
    </row>
    <row r="60" spans="1:21" ht="28.5">
      <c r="A60" s="2" t="s">
        <v>255</v>
      </c>
      <c r="B60" s="2" t="s">
        <v>49</v>
      </c>
      <c r="C60" s="2" t="s">
        <v>256</v>
      </c>
      <c r="D60" s="2"/>
      <c r="E60" s="2"/>
      <c r="F60" s="2"/>
      <c r="G60" s="2"/>
      <c r="H60" s="2"/>
      <c r="I60" s="2"/>
      <c r="J60" s="2"/>
      <c r="K60" s="2"/>
      <c r="L60" s="2"/>
      <c r="M60" s="2"/>
      <c r="N60" s="2"/>
      <c r="O60" s="2"/>
      <c r="P60" s="2"/>
      <c r="Q60" s="2"/>
      <c r="R60" s="2" t="str">
        <f>IF(D60="","IKKE TESTET",IF(M60="","MANGLER BEDØMMELSE",IF(M60="Ja","KRITISK FEJL",IF('03 Testspørgsmål'!E60="UNANSWERABLE",IF(OR(F60="",L60=""),"MANGLER BEDØMMELSE",IF(AND(F60=3,L60="Ja"),"BESTÅET","IKKE BESTÅET")),IF(COUNT(E60:I60)&lt;5,"MANGLER BEDØMMELSE",IF(AND(E60=2,F60&gt;=2,G60=2,H60=2,I60=2),"BESTÅET","IKKE BESTÅET"))))))</f>
        <v>IKKE TESTET</v>
      </c>
      <c r="S60" s="2"/>
      <c r="T60" s="2"/>
      <c r="U60" s="2"/>
    </row>
    <row r="61" spans="1:21">
      <c r="A61" s="2" t="s">
        <v>257</v>
      </c>
      <c r="B61" s="2" t="s">
        <v>54</v>
      </c>
      <c r="C61" s="2" t="s">
        <v>258</v>
      </c>
      <c r="D61" s="2"/>
      <c r="E61" s="2"/>
      <c r="F61" s="2"/>
      <c r="G61" s="2"/>
      <c r="H61" s="2"/>
      <c r="I61" s="2"/>
      <c r="J61" s="2"/>
      <c r="K61" s="2"/>
      <c r="L61" s="2"/>
      <c r="M61" s="2"/>
      <c r="N61" s="2"/>
      <c r="O61" s="2"/>
      <c r="P61" s="2"/>
      <c r="Q61" s="2"/>
      <c r="R61" s="2" t="str">
        <f>IF(D61="","IKKE TESTET",IF(M61="","MANGLER BEDØMMELSE",IF(M61="Ja","KRITISK FEJL",IF('03 Testspørgsmål'!E61="UNANSWERABLE",IF(OR(F61="",L61=""),"MANGLER BEDØMMELSE",IF(AND(F61=3,L61="Ja"),"BESTÅET","IKKE BESTÅET")),IF(COUNT(E61:I61)&lt;5,"MANGLER BEDØMMELSE",IF(AND(E61=2,F61&gt;=2,G61=2,H61=2,I61=2),"BESTÅET","IKKE BESTÅET"))))))</f>
        <v>IKKE TESTET</v>
      </c>
      <c r="S61" s="2"/>
      <c r="T61" s="2"/>
      <c r="U61" s="2"/>
    </row>
    <row r="62" spans="1:21" ht="28.5">
      <c r="A62" s="2" t="s">
        <v>259</v>
      </c>
      <c r="B62" s="2" t="s">
        <v>59</v>
      </c>
      <c r="C62" s="2" t="s">
        <v>260</v>
      </c>
      <c r="D62" s="2"/>
      <c r="E62" s="2"/>
      <c r="F62" s="2"/>
      <c r="G62" s="2"/>
      <c r="H62" s="2"/>
      <c r="I62" s="2"/>
      <c r="J62" s="2"/>
      <c r="K62" s="2"/>
      <c r="L62" s="2"/>
      <c r="M62" s="2"/>
      <c r="N62" s="2"/>
      <c r="O62" s="2"/>
      <c r="P62" s="2"/>
      <c r="Q62" s="2"/>
      <c r="R62" s="2" t="str">
        <f>IF(D62="","IKKE TESTET",IF(M62="","MANGLER BEDØMMELSE",IF(M62="Ja","KRITISK FEJL",IF('03 Testspørgsmål'!E62="UNANSWERABLE",IF(OR(F62="",L62=""),"MANGLER BEDØMMELSE",IF(AND(F62=3,L62="Ja"),"BESTÅET","IKKE BESTÅET")),IF(COUNT(E62:I62)&lt;5,"MANGLER BEDØMMELSE",IF(AND(E62=2,F62&gt;=2,G62=2,H62=2,I62=2),"BESTÅET","IKKE BESTÅET"))))))</f>
        <v>IKKE TESTET</v>
      </c>
      <c r="S62" s="2"/>
      <c r="T62" s="2"/>
      <c r="U62" s="2"/>
    </row>
    <row r="63" spans="1:21">
      <c r="A63" s="2" t="s">
        <v>261</v>
      </c>
      <c r="B63" s="2" t="s">
        <v>65</v>
      </c>
      <c r="C63" s="2" t="s">
        <v>262</v>
      </c>
      <c r="D63" s="2"/>
      <c r="E63" s="2"/>
      <c r="F63" s="2"/>
      <c r="G63" s="2"/>
      <c r="H63" s="2"/>
      <c r="I63" s="2"/>
      <c r="J63" s="2"/>
      <c r="K63" s="2"/>
      <c r="L63" s="2"/>
      <c r="M63" s="2"/>
      <c r="N63" s="2"/>
      <c r="O63" s="2"/>
      <c r="P63" s="2"/>
      <c r="Q63" s="2"/>
      <c r="R63" s="2" t="str">
        <f>IF(D63="","IKKE TESTET",IF(M63="","MANGLER BEDØMMELSE",IF(M63="Ja","KRITISK FEJL",IF('03 Testspørgsmål'!E63="UNANSWERABLE",IF(OR(F63="",L63=""),"MANGLER BEDØMMELSE",IF(AND(F63=3,L63="Ja"),"BESTÅET","IKKE BESTÅET")),IF(COUNT(E63:I63)&lt;5,"MANGLER BEDØMMELSE",IF(AND(E63=2,F63&gt;=2,G63=2,H63=2,I63=2),"BESTÅET","IKKE BESTÅET"))))))</f>
        <v>IKKE TESTET</v>
      </c>
      <c r="S63" s="2"/>
      <c r="T63" s="2"/>
      <c r="U63" s="2"/>
    </row>
    <row r="64" spans="1:21" ht="28.5">
      <c r="A64" s="2" t="s">
        <v>263</v>
      </c>
      <c r="B64" s="2" t="s">
        <v>69</v>
      </c>
      <c r="C64" s="2" t="s">
        <v>264</v>
      </c>
      <c r="D64" s="2"/>
      <c r="E64" s="2"/>
      <c r="F64" s="2"/>
      <c r="G64" s="2"/>
      <c r="H64" s="2"/>
      <c r="I64" s="2"/>
      <c r="J64" s="2"/>
      <c r="K64" s="2"/>
      <c r="L64" s="2"/>
      <c r="M64" s="2"/>
      <c r="N64" s="2"/>
      <c r="O64" s="2"/>
      <c r="P64" s="2"/>
      <c r="Q64" s="2"/>
      <c r="R64" s="2" t="str">
        <f>IF(D64="","IKKE TESTET",IF(M64="","MANGLER BEDØMMELSE",IF(M64="Ja","KRITISK FEJL",IF('03 Testspørgsmål'!E64="UNANSWERABLE",IF(OR(F64="",L64=""),"MANGLER BEDØMMELSE",IF(AND(F64=3,L64="Ja"),"BESTÅET","IKKE BESTÅET")),IF(COUNT(E64:I64)&lt;5,"MANGLER BEDØMMELSE",IF(AND(E64=2,F64&gt;=2,G64=2,H64=2,I64=2),"BESTÅET","IKKE BESTÅET"))))))</f>
        <v>IKKE TESTET</v>
      </c>
      <c r="S64" s="2"/>
      <c r="T64" s="2"/>
      <c r="U64" s="2"/>
    </row>
    <row r="65" spans="1:21" ht="28.5">
      <c r="A65" s="2" t="s">
        <v>265</v>
      </c>
      <c r="B65" s="2" t="s">
        <v>72</v>
      </c>
      <c r="C65" s="2" t="s">
        <v>266</v>
      </c>
      <c r="D65" s="2"/>
      <c r="E65" s="2"/>
      <c r="F65" s="2"/>
      <c r="G65" s="2"/>
      <c r="H65" s="2"/>
      <c r="I65" s="2"/>
      <c r="J65" s="2"/>
      <c r="K65" s="2"/>
      <c r="L65" s="2"/>
      <c r="M65" s="2"/>
      <c r="N65" s="2"/>
      <c r="O65" s="2"/>
      <c r="P65" s="2"/>
      <c r="Q65" s="2"/>
      <c r="R65" s="2" t="str">
        <f>IF(D65="","IKKE TESTET",IF(M65="","MANGLER BEDØMMELSE",IF(M65="Ja","KRITISK FEJL",IF('03 Testspørgsmål'!E65="UNANSWERABLE",IF(OR(F65="",L65=""),"MANGLER BEDØMMELSE",IF(AND(F65=3,L65="Ja"),"BESTÅET","IKKE BESTÅET")),IF(COUNT(E65:I65)&lt;5,"MANGLER BEDØMMELSE",IF(AND(E65=2,F65&gt;=2,G65=2,H65=2,I65=2),"BESTÅET","IKKE BESTÅET"))))))</f>
        <v>IKKE TESTET</v>
      </c>
      <c r="S65" s="2"/>
      <c r="T65" s="2"/>
      <c r="U65" s="2"/>
    </row>
    <row r="66" spans="1:21">
      <c r="A66" s="2"/>
      <c r="B66" s="2"/>
      <c r="C66" s="2"/>
      <c r="D66" s="2"/>
      <c r="E66" s="2"/>
      <c r="F66" s="2"/>
      <c r="G66" s="2"/>
      <c r="H66" s="2"/>
      <c r="I66" s="2"/>
      <c r="J66" s="2"/>
      <c r="K66" s="2"/>
      <c r="L66" s="2"/>
      <c r="M66" s="2"/>
      <c r="N66" s="2"/>
      <c r="O66" s="2"/>
      <c r="P66" s="2"/>
      <c r="Q66" s="2"/>
      <c r="R66" s="2"/>
      <c r="S66" s="2"/>
      <c r="T66" s="2"/>
      <c r="U66" s="2"/>
    </row>
  </sheetData>
  <dataValidations count="6">
    <dataValidation type="list" sqref="E2:E65 G2:I65" xr:uid="{00000000-0002-0000-0600-000000000000}">
      <formula1>"0,1,2"</formula1>
    </dataValidation>
    <dataValidation type="list" sqref="F2:F65" xr:uid="{00000000-0002-0000-0600-000001000000}">
      <formula1>"0,1,2,3"</formula1>
    </dataValidation>
    <dataValidation type="list" sqref="J2:M65" xr:uid="{00000000-0002-0000-0600-000005000000}">
      <formula1>"Ja,Nej,Ikke relevant"</formula1>
    </dataValidation>
    <dataValidation type="list" sqref="N2:N65" xr:uid="{00000000-0002-0000-0600-000009000000}">
      <formula1>"NONE,OPERATIONAL,DATA_SECURITY,PATIENT_SAFETY"</formula1>
    </dataValidation>
    <dataValidation type="list" sqref="O2:O65" xr:uid="{00000000-0002-0000-0600-00000A000000}">
      <formula1>"LOW,MEDIUM,HIGH,CRITICAL"</formula1>
    </dataValidation>
    <dataValidation type="list" sqref="P2:Q65" xr:uid="{00000000-0002-0000-0600-00000B000000}">
      <formula1>"Ingen,Retrieval,Ranking,Grounding,Citation correctness,Citation completeness,Entity,Negation,Synthesis,Conflict,Abstention,Safety,Other"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9"/>
  <sheetViews>
    <sheetView workbookViewId="0">
      <pane ySplit="1" topLeftCell="A2" activePane="bottomLeft" state="frozen"/>
      <selection pane="bottomLeft"/>
    </sheetView>
  </sheetViews>
  <sheetFormatPr defaultRowHeight="14.25"/>
  <cols>
    <col min="1" max="1" width="12" customWidth="1"/>
    <col min="2" max="2" width="19" customWidth="1"/>
    <col min="3" max="3" width="16" customWidth="1"/>
    <col min="4" max="4" width="12" customWidth="1"/>
    <col min="5" max="5" width="20" customWidth="1"/>
    <col min="6" max="6" width="30" customWidth="1"/>
    <col min="7" max="7" width="53" customWidth="1"/>
    <col min="8" max="8" width="27" customWidth="1"/>
    <col min="9" max="9" width="24" customWidth="1"/>
  </cols>
  <sheetData>
    <row r="1" spans="1:9" ht="33" customHeight="1">
      <c r="A1" s="5" t="s">
        <v>75</v>
      </c>
      <c r="B1" s="5" t="s">
        <v>1069</v>
      </c>
      <c r="C1" s="5" t="s">
        <v>1070</v>
      </c>
      <c r="D1" s="5" t="s">
        <v>1071</v>
      </c>
      <c r="E1" s="5" t="s">
        <v>1072</v>
      </c>
      <c r="F1" s="5" t="s">
        <v>1073</v>
      </c>
      <c r="G1" s="5" t="s">
        <v>1074</v>
      </c>
      <c r="H1" s="7" t="s">
        <v>430</v>
      </c>
      <c r="I1" s="7" t="s">
        <v>1075</v>
      </c>
    </row>
    <row r="2" spans="1:9" ht="24" customHeight="1">
      <c r="A2" s="2" t="s">
        <v>88</v>
      </c>
      <c r="B2" s="2" t="s">
        <v>431</v>
      </c>
      <c r="C2" s="2"/>
      <c r="D2" s="2"/>
      <c r="E2" s="2"/>
      <c r="F2" s="2"/>
      <c r="G2" s="2"/>
      <c r="H2" s="2" t="s">
        <v>435</v>
      </c>
      <c r="I2" s="2">
        <v>1</v>
      </c>
    </row>
    <row r="3" spans="1:9" ht="24" customHeight="1">
      <c r="A3" s="2" t="s">
        <v>97</v>
      </c>
      <c r="B3" s="2" t="s">
        <v>436</v>
      </c>
      <c r="C3" s="2"/>
      <c r="D3" s="2"/>
      <c r="E3" s="2"/>
      <c r="F3" s="2"/>
      <c r="G3" s="2"/>
      <c r="H3" s="2" t="s">
        <v>435</v>
      </c>
      <c r="I3" s="2">
        <v>1</v>
      </c>
    </row>
    <row r="4" spans="1:9" ht="24" customHeight="1">
      <c r="A4" s="2" t="s">
        <v>103</v>
      </c>
      <c r="B4" s="2" t="s">
        <v>439</v>
      </c>
      <c r="C4" s="2"/>
      <c r="D4" s="2"/>
      <c r="E4" s="2"/>
      <c r="F4" s="2"/>
      <c r="G4" s="2"/>
      <c r="H4" s="2" t="s">
        <v>435</v>
      </c>
      <c r="I4" s="2">
        <v>1</v>
      </c>
    </row>
    <row r="5" spans="1:9" ht="24" customHeight="1">
      <c r="A5" s="2" t="s">
        <v>108</v>
      </c>
      <c r="B5" s="2" t="s">
        <v>442</v>
      </c>
      <c r="C5" s="2"/>
      <c r="D5" s="2"/>
      <c r="E5" s="2"/>
      <c r="F5" s="2"/>
      <c r="G5" s="2"/>
      <c r="H5" s="2" t="s">
        <v>435</v>
      </c>
      <c r="I5" s="2">
        <v>1</v>
      </c>
    </row>
    <row r="6" spans="1:9" ht="24" customHeight="1">
      <c r="A6" s="2" t="s">
        <v>113</v>
      </c>
      <c r="B6" s="2" t="s">
        <v>445</v>
      </c>
      <c r="C6" s="2"/>
      <c r="D6" s="2"/>
      <c r="E6" s="2"/>
      <c r="F6" s="2"/>
      <c r="G6" s="2"/>
      <c r="H6" s="2" t="s">
        <v>435</v>
      </c>
      <c r="I6" s="2">
        <v>1</v>
      </c>
    </row>
    <row r="7" spans="1:9" ht="24" customHeight="1">
      <c r="A7" s="2" t="s">
        <v>116</v>
      </c>
      <c r="B7" s="2" t="s">
        <v>448</v>
      </c>
      <c r="C7" s="2"/>
      <c r="D7" s="2"/>
      <c r="E7" s="2"/>
      <c r="F7" s="2"/>
      <c r="G7" s="2"/>
      <c r="H7" s="2" t="s">
        <v>435</v>
      </c>
      <c r="I7" s="2">
        <v>1</v>
      </c>
    </row>
    <row r="8" spans="1:9" ht="24" customHeight="1">
      <c r="A8" s="2" t="s">
        <v>118</v>
      </c>
      <c r="B8" s="2" t="s">
        <v>451</v>
      </c>
      <c r="C8" s="2"/>
      <c r="D8" s="2"/>
      <c r="E8" s="2"/>
      <c r="F8" s="2"/>
      <c r="G8" s="2"/>
      <c r="H8" s="2" t="s">
        <v>435</v>
      </c>
      <c r="I8" s="2">
        <v>1</v>
      </c>
    </row>
    <row r="9" spans="1:9" ht="24" customHeight="1">
      <c r="A9" s="2" t="s">
        <v>121</v>
      </c>
      <c r="B9" s="2" t="s">
        <v>454</v>
      </c>
      <c r="C9" s="2"/>
      <c r="D9" s="2"/>
      <c r="E9" s="2"/>
      <c r="F9" s="2"/>
      <c r="G9" s="2"/>
      <c r="H9" s="2" t="s">
        <v>435</v>
      </c>
      <c r="I9" s="2">
        <v>1</v>
      </c>
    </row>
    <row r="10" spans="1:9" ht="24" customHeight="1">
      <c r="A10" s="2" t="s">
        <v>124</v>
      </c>
      <c r="B10" s="2" t="s">
        <v>457</v>
      </c>
      <c r="C10" s="2"/>
      <c r="D10" s="2"/>
      <c r="E10" s="2"/>
      <c r="F10" s="2"/>
      <c r="G10" s="2"/>
      <c r="H10" s="2" t="s">
        <v>435</v>
      </c>
      <c r="I10" s="2">
        <v>2</v>
      </c>
    </row>
    <row r="11" spans="1:9" ht="24" customHeight="1">
      <c r="A11" s="2" t="s">
        <v>124</v>
      </c>
      <c r="B11" s="2" t="s">
        <v>460</v>
      </c>
      <c r="C11" s="2"/>
      <c r="D11" s="2"/>
      <c r="E11" s="2"/>
      <c r="F11" s="2"/>
      <c r="G11" s="2"/>
      <c r="H11" s="2" t="s">
        <v>435</v>
      </c>
      <c r="I11" s="2">
        <v>2</v>
      </c>
    </row>
    <row r="12" spans="1:9" ht="24" customHeight="1">
      <c r="A12" s="2" t="s">
        <v>127</v>
      </c>
      <c r="B12" s="2" t="s">
        <v>462</v>
      </c>
      <c r="C12" s="2"/>
      <c r="D12" s="2"/>
      <c r="E12" s="2"/>
      <c r="F12" s="2"/>
      <c r="G12" s="2"/>
      <c r="H12" s="2" t="s">
        <v>435</v>
      </c>
      <c r="I12" s="2">
        <v>2</v>
      </c>
    </row>
    <row r="13" spans="1:9" ht="24" customHeight="1">
      <c r="A13" s="2" t="s">
        <v>127</v>
      </c>
      <c r="B13" s="2" t="s">
        <v>464</v>
      </c>
      <c r="C13" s="2"/>
      <c r="D13" s="2"/>
      <c r="E13" s="2"/>
      <c r="F13" s="2"/>
      <c r="G13" s="2"/>
      <c r="H13" s="2" t="s">
        <v>435</v>
      </c>
      <c r="I13" s="2">
        <v>2</v>
      </c>
    </row>
    <row r="14" spans="1:9" ht="24" customHeight="1">
      <c r="A14" s="2" t="s">
        <v>130</v>
      </c>
      <c r="B14" s="2" t="s">
        <v>466</v>
      </c>
      <c r="C14" s="2"/>
      <c r="D14" s="2"/>
      <c r="E14" s="2"/>
      <c r="F14" s="2"/>
      <c r="G14" s="2"/>
      <c r="H14" s="2" t="s">
        <v>435</v>
      </c>
      <c r="I14" s="2">
        <v>1</v>
      </c>
    </row>
    <row r="15" spans="1:9" ht="24" customHeight="1">
      <c r="A15" s="2" t="s">
        <v>133</v>
      </c>
      <c r="B15" s="2" t="s">
        <v>469</v>
      </c>
      <c r="C15" s="2"/>
      <c r="D15" s="2"/>
      <c r="E15" s="2"/>
      <c r="F15" s="2"/>
      <c r="G15" s="2"/>
      <c r="H15" s="2" t="s">
        <v>435</v>
      </c>
      <c r="I15" s="2">
        <v>2</v>
      </c>
    </row>
    <row r="16" spans="1:9" ht="24" customHeight="1">
      <c r="A16" s="2" t="s">
        <v>133</v>
      </c>
      <c r="B16" s="2" t="s">
        <v>472</v>
      </c>
      <c r="C16" s="2"/>
      <c r="D16" s="2"/>
      <c r="E16" s="2"/>
      <c r="F16" s="2"/>
      <c r="G16" s="2"/>
      <c r="H16" s="2" t="s">
        <v>435</v>
      </c>
      <c r="I16" s="2">
        <v>2</v>
      </c>
    </row>
    <row r="17" spans="1:9" ht="24" customHeight="1">
      <c r="A17" s="2" t="s">
        <v>136</v>
      </c>
      <c r="B17" s="2" t="s">
        <v>474</v>
      </c>
      <c r="C17" s="2"/>
      <c r="D17" s="2"/>
      <c r="E17" s="2"/>
      <c r="F17" s="2"/>
      <c r="G17" s="2"/>
      <c r="H17" s="2" t="s">
        <v>435</v>
      </c>
      <c r="I17" s="2">
        <v>1</v>
      </c>
    </row>
    <row r="18" spans="1:9" ht="24" customHeight="1">
      <c r="A18" s="2" t="s">
        <v>138</v>
      </c>
      <c r="B18" s="2" t="s">
        <v>477</v>
      </c>
      <c r="C18" s="2"/>
      <c r="D18" s="2"/>
      <c r="E18" s="2"/>
      <c r="F18" s="2"/>
      <c r="G18" s="2"/>
      <c r="H18" s="2" t="s">
        <v>435</v>
      </c>
      <c r="I18" s="2">
        <v>1</v>
      </c>
    </row>
    <row r="19" spans="1:9" ht="24" customHeight="1">
      <c r="A19" s="2" t="s">
        <v>141</v>
      </c>
      <c r="B19" s="2" t="s">
        <v>480</v>
      </c>
      <c r="C19" s="2"/>
      <c r="D19" s="2"/>
      <c r="E19" s="2"/>
      <c r="F19" s="2"/>
      <c r="G19" s="2"/>
      <c r="H19" s="2" t="s">
        <v>435</v>
      </c>
      <c r="I19" s="2">
        <v>1</v>
      </c>
    </row>
    <row r="20" spans="1:9" ht="24" customHeight="1">
      <c r="A20" s="2" t="s">
        <v>143</v>
      </c>
      <c r="B20" s="2" t="s">
        <v>483</v>
      </c>
      <c r="C20" s="2"/>
      <c r="D20" s="2"/>
      <c r="E20" s="2"/>
      <c r="F20" s="2"/>
      <c r="G20" s="2"/>
      <c r="H20" s="2" t="s">
        <v>435</v>
      </c>
      <c r="I20" s="2">
        <v>1</v>
      </c>
    </row>
    <row r="21" spans="1:9" ht="24" customHeight="1">
      <c r="A21" s="2" t="s">
        <v>146</v>
      </c>
      <c r="B21" s="2" t="s">
        <v>486</v>
      </c>
      <c r="C21" s="2"/>
      <c r="D21" s="2"/>
      <c r="E21" s="2"/>
      <c r="F21" s="2"/>
      <c r="G21" s="2"/>
      <c r="H21" s="2" t="s">
        <v>435</v>
      </c>
      <c r="I21" s="2">
        <v>2</v>
      </c>
    </row>
    <row r="22" spans="1:9" ht="24" customHeight="1">
      <c r="A22" s="2" t="s">
        <v>146</v>
      </c>
      <c r="B22" s="2" t="s">
        <v>489</v>
      </c>
      <c r="C22" s="2"/>
      <c r="D22" s="2"/>
      <c r="E22" s="2"/>
      <c r="F22" s="2"/>
      <c r="G22" s="2"/>
      <c r="H22" s="2" t="s">
        <v>435</v>
      </c>
      <c r="I22" s="2">
        <v>2</v>
      </c>
    </row>
    <row r="23" spans="1:9" ht="24" customHeight="1">
      <c r="A23" s="2" t="s">
        <v>149</v>
      </c>
      <c r="B23" s="2" t="s">
        <v>491</v>
      </c>
      <c r="C23" s="2"/>
      <c r="D23" s="2"/>
      <c r="E23" s="2"/>
      <c r="F23" s="2"/>
      <c r="G23" s="2"/>
      <c r="H23" s="2" t="s">
        <v>435</v>
      </c>
      <c r="I23" s="2">
        <v>1</v>
      </c>
    </row>
    <row r="24" spans="1:9" ht="24" customHeight="1">
      <c r="A24" s="2" t="s">
        <v>152</v>
      </c>
      <c r="B24" s="2" t="s">
        <v>494</v>
      </c>
      <c r="C24" s="2"/>
      <c r="D24" s="2"/>
      <c r="E24" s="2"/>
      <c r="F24" s="2"/>
      <c r="G24" s="2"/>
      <c r="H24" s="2" t="s">
        <v>435</v>
      </c>
      <c r="I24" s="2">
        <v>2</v>
      </c>
    </row>
    <row r="25" spans="1:9" ht="24" customHeight="1">
      <c r="A25" s="2" t="s">
        <v>152</v>
      </c>
      <c r="B25" s="2" t="s">
        <v>497</v>
      </c>
      <c r="C25" s="2"/>
      <c r="D25" s="2"/>
      <c r="E25" s="2"/>
      <c r="F25" s="2"/>
      <c r="G25" s="2"/>
      <c r="H25" s="2" t="s">
        <v>435</v>
      </c>
      <c r="I25" s="2">
        <v>2</v>
      </c>
    </row>
    <row r="26" spans="1:9" ht="24" customHeight="1">
      <c r="A26" s="2" t="s">
        <v>155</v>
      </c>
      <c r="B26" s="2" t="s">
        <v>499</v>
      </c>
      <c r="C26" s="2"/>
      <c r="D26" s="2"/>
      <c r="E26" s="2"/>
      <c r="F26" s="2"/>
      <c r="G26" s="2"/>
      <c r="H26" s="2" t="s">
        <v>435</v>
      </c>
      <c r="I26" s="2">
        <v>1</v>
      </c>
    </row>
    <row r="27" spans="1:9" ht="24" customHeight="1">
      <c r="A27" s="2" t="s">
        <v>159</v>
      </c>
      <c r="B27" s="2" t="s">
        <v>502</v>
      </c>
      <c r="C27" s="2"/>
      <c r="D27" s="2"/>
      <c r="E27" s="2"/>
      <c r="F27" s="2"/>
      <c r="G27" s="2"/>
      <c r="H27" s="2" t="s">
        <v>435</v>
      </c>
      <c r="I27" s="2">
        <v>1</v>
      </c>
    </row>
    <row r="28" spans="1:9" ht="24" customHeight="1">
      <c r="A28" s="2" t="s">
        <v>162</v>
      </c>
      <c r="B28" s="2" t="s">
        <v>505</v>
      </c>
      <c r="C28" s="2"/>
      <c r="D28" s="2"/>
      <c r="E28" s="2"/>
      <c r="F28" s="2"/>
      <c r="G28" s="2"/>
      <c r="H28" s="2" t="s">
        <v>435</v>
      </c>
      <c r="I28" s="2">
        <v>1</v>
      </c>
    </row>
    <row r="29" spans="1:9" ht="24" customHeight="1">
      <c r="A29" s="2" t="s">
        <v>165</v>
      </c>
      <c r="B29" s="2" t="s">
        <v>508</v>
      </c>
      <c r="C29" s="2"/>
      <c r="D29" s="2"/>
      <c r="E29" s="2"/>
      <c r="F29" s="2"/>
      <c r="G29" s="2"/>
      <c r="H29" s="2" t="s">
        <v>435</v>
      </c>
      <c r="I29" s="2">
        <v>1</v>
      </c>
    </row>
    <row r="30" spans="1:9" ht="24" customHeight="1">
      <c r="A30" s="2" t="s">
        <v>167</v>
      </c>
      <c r="B30" s="2" t="s">
        <v>511</v>
      </c>
      <c r="C30" s="2"/>
      <c r="D30" s="2"/>
      <c r="E30" s="2"/>
      <c r="F30" s="2"/>
      <c r="G30" s="2"/>
      <c r="H30" s="2" t="s">
        <v>435</v>
      </c>
      <c r="I30" s="2">
        <v>2</v>
      </c>
    </row>
    <row r="31" spans="1:9" ht="24" customHeight="1">
      <c r="A31" s="2" t="s">
        <v>167</v>
      </c>
      <c r="B31" s="2" t="s">
        <v>514</v>
      </c>
      <c r="C31" s="2"/>
      <c r="D31" s="2"/>
      <c r="E31" s="2"/>
      <c r="F31" s="2"/>
      <c r="G31" s="2"/>
      <c r="H31" s="2" t="s">
        <v>435</v>
      </c>
      <c r="I31" s="2">
        <v>2</v>
      </c>
    </row>
    <row r="32" spans="1:9" ht="24" customHeight="1">
      <c r="A32" s="2" t="s">
        <v>170</v>
      </c>
      <c r="B32" s="2" t="s">
        <v>516</v>
      </c>
      <c r="C32" s="2"/>
      <c r="D32" s="2"/>
      <c r="E32" s="2"/>
      <c r="F32" s="2"/>
      <c r="G32" s="2"/>
      <c r="H32" s="2" t="s">
        <v>435</v>
      </c>
      <c r="I32" s="2">
        <v>2</v>
      </c>
    </row>
    <row r="33" spans="1:9" ht="24" customHeight="1">
      <c r="A33" s="2" t="s">
        <v>170</v>
      </c>
      <c r="B33" s="2" t="s">
        <v>519</v>
      </c>
      <c r="C33" s="2"/>
      <c r="D33" s="2"/>
      <c r="E33" s="2"/>
      <c r="F33" s="2"/>
      <c r="G33" s="2"/>
      <c r="H33" s="2" t="s">
        <v>435</v>
      </c>
      <c r="I33" s="2">
        <v>2</v>
      </c>
    </row>
    <row r="34" spans="1:9" ht="24" customHeight="1">
      <c r="A34" s="2" t="s">
        <v>173</v>
      </c>
      <c r="B34" s="2" t="s">
        <v>521</v>
      </c>
      <c r="C34" s="2"/>
      <c r="D34" s="2"/>
      <c r="E34" s="2"/>
      <c r="F34" s="2"/>
      <c r="G34" s="2"/>
      <c r="H34" s="2" t="s">
        <v>435</v>
      </c>
      <c r="I34" s="2">
        <v>1</v>
      </c>
    </row>
    <row r="35" spans="1:9" ht="24" customHeight="1">
      <c r="A35" s="2" t="s">
        <v>175</v>
      </c>
      <c r="B35" s="2" t="s">
        <v>524</v>
      </c>
      <c r="C35" s="2"/>
      <c r="D35" s="2"/>
      <c r="E35" s="2"/>
      <c r="F35" s="2"/>
      <c r="G35" s="2"/>
      <c r="H35" s="2" t="s">
        <v>435</v>
      </c>
      <c r="I35" s="2">
        <v>1</v>
      </c>
    </row>
    <row r="36" spans="1:9" ht="24" customHeight="1">
      <c r="A36" s="2" t="s">
        <v>178</v>
      </c>
      <c r="B36" s="2" t="s">
        <v>527</v>
      </c>
      <c r="C36" s="2"/>
      <c r="D36" s="2"/>
      <c r="E36" s="2"/>
      <c r="F36" s="2"/>
      <c r="G36" s="2"/>
      <c r="H36" s="2" t="s">
        <v>435</v>
      </c>
      <c r="I36" s="2">
        <v>2</v>
      </c>
    </row>
    <row r="37" spans="1:9" ht="24" customHeight="1">
      <c r="A37" s="2" t="s">
        <v>178</v>
      </c>
      <c r="B37" s="2" t="s">
        <v>530</v>
      </c>
      <c r="C37" s="2"/>
      <c r="D37" s="2"/>
      <c r="E37" s="2"/>
      <c r="F37" s="2"/>
      <c r="G37" s="2"/>
      <c r="H37" s="2" t="s">
        <v>435</v>
      </c>
      <c r="I37" s="2">
        <v>2</v>
      </c>
    </row>
    <row r="38" spans="1:9" ht="24" customHeight="1">
      <c r="A38" s="2" t="s">
        <v>181</v>
      </c>
      <c r="B38" s="2" t="s">
        <v>532</v>
      </c>
      <c r="C38" s="2"/>
      <c r="D38" s="2"/>
      <c r="E38" s="2"/>
      <c r="F38" s="2"/>
      <c r="G38" s="2"/>
      <c r="H38" s="2" t="s">
        <v>435</v>
      </c>
      <c r="I38" s="2">
        <v>2</v>
      </c>
    </row>
    <row r="39" spans="1:9" ht="24" customHeight="1">
      <c r="A39" s="2" t="s">
        <v>181</v>
      </c>
      <c r="B39" s="2" t="s">
        <v>535</v>
      </c>
      <c r="C39" s="2"/>
      <c r="D39" s="2"/>
      <c r="E39" s="2"/>
      <c r="F39" s="2"/>
      <c r="G39" s="2"/>
      <c r="H39" s="2" t="s">
        <v>435</v>
      </c>
      <c r="I39" s="2">
        <v>2</v>
      </c>
    </row>
    <row r="40" spans="1:9" ht="24" customHeight="1">
      <c r="A40" s="2" t="s">
        <v>184</v>
      </c>
      <c r="B40" s="2" t="s">
        <v>537</v>
      </c>
      <c r="C40" s="2"/>
      <c r="D40" s="2"/>
      <c r="E40" s="2"/>
      <c r="F40" s="2"/>
      <c r="G40" s="2"/>
      <c r="H40" s="2" t="s">
        <v>435</v>
      </c>
      <c r="I40" s="2">
        <v>1</v>
      </c>
    </row>
    <row r="41" spans="1:9" ht="24" customHeight="1">
      <c r="A41" s="2" t="s">
        <v>186</v>
      </c>
      <c r="B41" s="2" t="s">
        <v>540</v>
      </c>
      <c r="C41" s="2"/>
      <c r="D41" s="2"/>
      <c r="E41" s="2"/>
      <c r="F41" s="2"/>
      <c r="G41" s="2"/>
      <c r="H41" s="2" t="s">
        <v>435</v>
      </c>
      <c r="I41" s="2">
        <v>1</v>
      </c>
    </row>
    <row r="42" spans="1:9" ht="24" customHeight="1">
      <c r="A42" s="2" t="s">
        <v>188</v>
      </c>
      <c r="B42" s="2" t="s">
        <v>543</v>
      </c>
      <c r="C42" s="2"/>
      <c r="D42" s="2"/>
      <c r="E42" s="2"/>
      <c r="F42" s="2"/>
      <c r="G42" s="2"/>
      <c r="H42" s="2" t="s">
        <v>435</v>
      </c>
      <c r="I42" s="2">
        <v>1</v>
      </c>
    </row>
    <row r="43" spans="1:9" ht="24" customHeight="1">
      <c r="A43" s="2" t="s">
        <v>191</v>
      </c>
      <c r="B43" s="2" t="s">
        <v>546</v>
      </c>
      <c r="C43" s="2"/>
      <c r="D43" s="2"/>
      <c r="E43" s="2"/>
      <c r="F43" s="2"/>
      <c r="G43" s="2"/>
      <c r="H43" s="2" t="s">
        <v>435</v>
      </c>
      <c r="I43" s="2">
        <v>1</v>
      </c>
    </row>
    <row r="44" spans="1:9" ht="24" customHeight="1">
      <c r="A44" s="2" t="s">
        <v>193</v>
      </c>
      <c r="B44" s="2" t="s">
        <v>549</v>
      </c>
      <c r="C44" s="2"/>
      <c r="D44" s="2"/>
      <c r="E44" s="2"/>
      <c r="F44" s="2"/>
      <c r="G44" s="2"/>
      <c r="H44" s="2" t="s">
        <v>435</v>
      </c>
      <c r="I44" s="2">
        <v>1</v>
      </c>
    </row>
    <row r="45" spans="1:9" ht="24" customHeight="1">
      <c r="A45" s="2" t="s">
        <v>195</v>
      </c>
      <c r="B45" s="2" t="s">
        <v>552</v>
      </c>
      <c r="C45" s="2"/>
      <c r="D45" s="2"/>
      <c r="E45" s="2"/>
      <c r="F45" s="2"/>
      <c r="G45" s="2"/>
      <c r="H45" s="2" t="s">
        <v>435</v>
      </c>
      <c r="I45" s="2">
        <v>2</v>
      </c>
    </row>
    <row r="46" spans="1:9" ht="24" customHeight="1">
      <c r="A46" s="2" t="s">
        <v>195</v>
      </c>
      <c r="B46" s="2" t="s">
        <v>554</v>
      </c>
      <c r="C46" s="2"/>
      <c r="D46" s="2"/>
      <c r="E46" s="2"/>
      <c r="F46" s="2"/>
      <c r="G46" s="2"/>
      <c r="H46" s="2" t="s">
        <v>435</v>
      </c>
      <c r="I46" s="2">
        <v>2</v>
      </c>
    </row>
    <row r="47" spans="1:9" ht="24" customHeight="1">
      <c r="A47" s="2" t="s">
        <v>198</v>
      </c>
      <c r="B47" s="2" t="s">
        <v>556</v>
      </c>
      <c r="C47" s="2"/>
      <c r="D47" s="2"/>
      <c r="E47" s="2"/>
      <c r="F47" s="2"/>
      <c r="G47" s="2"/>
      <c r="H47" s="2" t="s">
        <v>435</v>
      </c>
      <c r="I47" s="2">
        <v>1</v>
      </c>
    </row>
    <row r="48" spans="1:9" ht="24" customHeight="1">
      <c r="A48" s="2" t="s">
        <v>200</v>
      </c>
      <c r="B48" s="2" t="s">
        <v>558</v>
      </c>
      <c r="C48" s="2"/>
      <c r="D48" s="2"/>
      <c r="E48" s="2"/>
      <c r="F48" s="2"/>
      <c r="G48" s="2"/>
      <c r="H48" s="2" t="s">
        <v>435</v>
      </c>
      <c r="I48" s="2">
        <v>1</v>
      </c>
    </row>
    <row r="49" spans="1:9" ht="24" customHeight="1">
      <c r="A49" s="2" t="s">
        <v>202</v>
      </c>
      <c r="B49" s="2" t="s">
        <v>561</v>
      </c>
      <c r="C49" s="2"/>
      <c r="D49" s="2"/>
      <c r="E49" s="2"/>
      <c r="F49" s="2"/>
      <c r="G49" s="2"/>
      <c r="H49" s="2" t="s">
        <v>435</v>
      </c>
      <c r="I49" s="2">
        <v>1</v>
      </c>
    </row>
    <row r="50" spans="1:9" ht="24" customHeight="1">
      <c r="A50" s="2" t="s">
        <v>205</v>
      </c>
      <c r="B50" s="2" t="s">
        <v>564</v>
      </c>
      <c r="C50" s="2"/>
      <c r="D50" s="2"/>
      <c r="E50" s="2"/>
      <c r="F50" s="2"/>
      <c r="G50" s="2"/>
      <c r="H50" s="2" t="s">
        <v>435</v>
      </c>
      <c r="I50" s="2">
        <v>1</v>
      </c>
    </row>
    <row r="51" spans="1:9" ht="24" customHeight="1">
      <c r="A51" s="2" t="s">
        <v>207</v>
      </c>
      <c r="B51" s="2" t="s">
        <v>567</v>
      </c>
      <c r="C51" s="2"/>
      <c r="D51" s="2"/>
      <c r="E51" s="2"/>
      <c r="F51" s="2"/>
      <c r="G51" s="2"/>
      <c r="H51" s="2" t="s">
        <v>435</v>
      </c>
      <c r="I51" s="2">
        <v>2</v>
      </c>
    </row>
    <row r="52" spans="1:9" ht="24" customHeight="1">
      <c r="A52" s="2" t="s">
        <v>207</v>
      </c>
      <c r="B52" s="2" t="s">
        <v>570</v>
      </c>
      <c r="C52" s="2"/>
      <c r="D52" s="2"/>
      <c r="E52" s="2"/>
      <c r="F52" s="2"/>
      <c r="G52" s="2"/>
      <c r="H52" s="2" t="s">
        <v>435</v>
      </c>
      <c r="I52" s="2">
        <v>2</v>
      </c>
    </row>
    <row r="53" spans="1:9" ht="24" customHeight="1">
      <c r="A53" s="2" t="s">
        <v>210</v>
      </c>
      <c r="B53" s="2" t="s">
        <v>572</v>
      </c>
      <c r="C53" s="2"/>
      <c r="D53" s="2"/>
      <c r="E53" s="2"/>
      <c r="F53" s="2"/>
      <c r="G53" s="2"/>
      <c r="H53" s="2" t="s">
        <v>435</v>
      </c>
      <c r="I53" s="2">
        <v>1</v>
      </c>
    </row>
    <row r="54" spans="1:9" ht="24" customHeight="1">
      <c r="A54" s="2" t="s">
        <v>212</v>
      </c>
      <c r="B54" s="2" t="s">
        <v>575</v>
      </c>
      <c r="C54" s="2"/>
      <c r="D54" s="2"/>
      <c r="E54" s="2"/>
      <c r="F54" s="2"/>
      <c r="G54" s="2"/>
      <c r="H54" s="2" t="s">
        <v>435</v>
      </c>
      <c r="I54" s="2">
        <v>1</v>
      </c>
    </row>
    <row r="55" spans="1:9" ht="24" customHeight="1">
      <c r="A55" s="2" t="s">
        <v>215</v>
      </c>
      <c r="B55" s="2" t="s">
        <v>578</v>
      </c>
      <c r="C55" s="2"/>
      <c r="D55" s="2"/>
      <c r="E55" s="2"/>
      <c r="F55" s="2"/>
      <c r="G55" s="2"/>
      <c r="H55" s="2" t="s">
        <v>435</v>
      </c>
      <c r="I55" s="2">
        <v>1</v>
      </c>
    </row>
    <row r="56" spans="1:9" ht="24" customHeight="1">
      <c r="A56" s="2" t="s">
        <v>217</v>
      </c>
      <c r="B56" s="2" t="s">
        <v>581</v>
      </c>
      <c r="C56" s="2"/>
      <c r="D56" s="2"/>
      <c r="E56" s="2"/>
      <c r="F56" s="2"/>
      <c r="G56" s="2"/>
      <c r="H56" s="2" t="s">
        <v>435</v>
      </c>
      <c r="I56" s="2">
        <v>1</v>
      </c>
    </row>
    <row r="57" spans="1:9" ht="24" customHeight="1">
      <c r="A57" s="2" t="s">
        <v>219</v>
      </c>
      <c r="B57" s="2" t="s">
        <v>584</v>
      </c>
      <c r="C57" s="2"/>
      <c r="D57" s="2"/>
      <c r="E57" s="2"/>
      <c r="F57" s="2"/>
      <c r="G57" s="2"/>
      <c r="H57" s="2" t="s">
        <v>435</v>
      </c>
      <c r="I57" s="2">
        <v>2</v>
      </c>
    </row>
    <row r="58" spans="1:9" ht="24" customHeight="1">
      <c r="A58" s="2" t="s">
        <v>219</v>
      </c>
      <c r="B58" s="2" t="s">
        <v>587</v>
      </c>
      <c r="C58" s="2"/>
      <c r="D58" s="2"/>
      <c r="E58" s="2"/>
      <c r="F58" s="2"/>
      <c r="G58" s="2"/>
      <c r="H58" s="2" t="s">
        <v>435</v>
      </c>
      <c r="I58" s="2">
        <v>2</v>
      </c>
    </row>
    <row r="59" spans="1:9" ht="24" customHeight="1">
      <c r="A59" s="2" t="s">
        <v>222</v>
      </c>
      <c r="B59" s="2" t="s">
        <v>589</v>
      </c>
      <c r="C59" s="2"/>
      <c r="D59" s="2"/>
      <c r="E59" s="2"/>
      <c r="F59" s="2"/>
      <c r="G59" s="2"/>
      <c r="H59" s="2" t="s">
        <v>435</v>
      </c>
      <c r="I59" s="2">
        <v>1</v>
      </c>
    </row>
    <row r="60" spans="1:9" ht="24" customHeight="1">
      <c r="A60" s="2" t="s">
        <v>224</v>
      </c>
      <c r="B60" s="2" t="s">
        <v>592</v>
      </c>
      <c r="C60" s="2"/>
      <c r="D60" s="2"/>
      <c r="E60" s="2"/>
      <c r="F60" s="2"/>
      <c r="G60" s="2"/>
      <c r="H60" s="2" t="s">
        <v>435</v>
      </c>
      <c r="I60" s="2">
        <v>1</v>
      </c>
    </row>
    <row r="61" spans="1:9" ht="24" customHeight="1">
      <c r="A61" s="2" t="s">
        <v>226</v>
      </c>
      <c r="B61" s="2" t="s">
        <v>595</v>
      </c>
      <c r="C61" s="2"/>
      <c r="D61" s="2"/>
      <c r="E61" s="2"/>
      <c r="F61" s="2"/>
      <c r="G61" s="2"/>
      <c r="H61" s="2" t="s">
        <v>435</v>
      </c>
      <c r="I61" s="2">
        <v>1</v>
      </c>
    </row>
    <row r="62" spans="1:9" ht="24" customHeight="1">
      <c r="A62" s="2" t="s">
        <v>228</v>
      </c>
      <c r="B62" s="2" t="s">
        <v>598</v>
      </c>
      <c r="C62" s="2"/>
      <c r="D62" s="2"/>
      <c r="E62" s="2"/>
      <c r="F62" s="2"/>
      <c r="G62" s="2"/>
      <c r="H62" s="2" t="s">
        <v>435</v>
      </c>
      <c r="I62" s="2">
        <v>1</v>
      </c>
    </row>
    <row r="63" spans="1:9" ht="24" customHeight="1">
      <c r="A63" s="2" t="s">
        <v>230</v>
      </c>
      <c r="B63" s="2" t="s">
        <v>601</v>
      </c>
      <c r="C63" s="2"/>
      <c r="D63" s="2"/>
      <c r="E63" s="2"/>
      <c r="F63" s="2"/>
      <c r="G63" s="2"/>
      <c r="H63" s="2" t="s">
        <v>435</v>
      </c>
      <c r="I63" s="2">
        <v>1</v>
      </c>
    </row>
    <row r="64" spans="1:9" ht="24" customHeight="1">
      <c r="A64" s="2" t="s">
        <v>232</v>
      </c>
      <c r="B64" s="2" t="s">
        <v>604</v>
      </c>
      <c r="C64" s="2"/>
      <c r="D64" s="2"/>
      <c r="E64" s="2"/>
      <c r="F64" s="2"/>
      <c r="G64" s="2"/>
      <c r="H64" s="2" t="s">
        <v>435</v>
      </c>
      <c r="I64" s="2">
        <v>2</v>
      </c>
    </row>
    <row r="65" spans="1:9" ht="24" customHeight="1">
      <c r="A65" s="2" t="s">
        <v>232</v>
      </c>
      <c r="B65" s="2" t="s">
        <v>607</v>
      </c>
      <c r="C65" s="2"/>
      <c r="D65" s="2"/>
      <c r="E65" s="2"/>
      <c r="F65" s="2"/>
      <c r="G65" s="2"/>
      <c r="H65" s="2" t="s">
        <v>435</v>
      </c>
      <c r="I65" s="2">
        <v>2</v>
      </c>
    </row>
    <row r="66" spans="1:9">
      <c r="A66" s="2" t="s">
        <v>235</v>
      </c>
      <c r="B66" s="2" t="s">
        <v>609</v>
      </c>
      <c r="C66" s="2"/>
      <c r="D66" s="2"/>
      <c r="E66" s="2"/>
      <c r="F66" s="2"/>
      <c r="G66" s="2"/>
      <c r="H66" s="2" t="s">
        <v>435</v>
      </c>
      <c r="I66" s="2">
        <v>2</v>
      </c>
    </row>
    <row r="67" spans="1:9">
      <c r="A67" s="2" t="s">
        <v>235</v>
      </c>
      <c r="B67" s="2" t="s">
        <v>612</v>
      </c>
      <c r="C67" s="2"/>
      <c r="D67" s="2"/>
      <c r="E67" s="2"/>
      <c r="F67" s="2"/>
      <c r="G67" s="2"/>
      <c r="H67" s="2" t="s">
        <v>435</v>
      </c>
      <c r="I67" s="2">
        <v>2</v>
      </c>
    </row>
    <row r="68" spans="1:9">
      <c r="A68" s="2" t="s">
        <v>238</v>
      </c>
      <c r="B68" s="2" t="s">
        <v>614</v>
      </c>
      <c r="C68" s="2"/>
      <c r="D68" s="2"/>
      <c r="E68" s="2"/>
      <c r="F68" s="2"/>
      <c r="G68" s="2"/>
      <c r="H68" s="2" t="s">
        <v>435</v>
      </c>
      <c r="I68" s="2">
        <v>1</v>
      </c>
    </row>
    <row r="69" spans="1:9">
      <c r="A69" s="2" t="s">
        <v>240</v>
      </c>
      <c r="B69" s="2" t="s">
        <v>617</v>
      </c>
      <c r="C69" s="2"/>
      <c r="D69" s="2"/>
      <c r="E69" s="2"/>
      <c r="F69" s="2"/>
      <c r="G69" s="2"/>
      <c r="H69" s="2" t="s">
        <v>435</v>
      </c>
      <c r="I69" s="2">
        <v>1</v>
      </c>
    </row>
    <row r="70" spans="1:9">
      <c r="A70" s="2" t="s">
        <v>242</v>
      </c>
      <c r="B70" s="2" t="s">
        <v>620</v>
      </c>
      <c r="C70" s="2"/>
      <c r="D70" s="2"/>
      <c r="E70" s="2"/>
      <c r="F70" s="2"/>
      <c r="G70" s="2"/>
      <c r="H70" s="2" t="s">
        <v>435</v>
      </c>
      <c r="I70" s="2">
        <v>1</v>
      </c>
    </row>
    <row r="71" spans="1:9">
      <c r="A71" s="2" t="s">
        <v>244</v>
      </c>
      <c r="B71" s="2" t="s">
        <v>623</v>
      </c>
      <c r="C71" s="2"/>
      <c r="D71" s="2"/>
      <c r="E71" s="2"/>
      <c r="F71" s="2"/>
      <c r="G71" s="2"/>
      <c r="H71" s="2" t="s">
        <v>435</v>
      </c>
      <c r="I71" s="2">
        <v>1</v>
      </c>
    </row>
    <row r="72" spans="1:9">
      <c r="A72" s="2" t="s">
        <v>247</v>
      </c>
      <c r="B72" s="2" t="s">
        <v>626</v>
      </c>
      <c r="C72" s="2"/>
      <c r="D72" s="2"/>
      <c r="E72" s="2"/>
      <c r="F72" s="2"/>
      <c r="G72" s="2"/>
      <c r="H72" s="2" t="s">
        <v>630</v>
      </c>
      <c r="I72" s="2">
        <v>0</v>
      </c>
    </row>
    <row r="73" spans="1:9">
      <c r="A73" s="2" t="s">
        <v>253</v>
      </c>
      <c r="B73" s="2" t="s">
        <v>631</v>
      </c>
      <c r="C73" s="2"/>
      <c r="D73" s="2"/>
      <c r="E73" s="2"/>
      <c r="F73" s="2"/>
      <c r="G73" s="2"/>
      <c r="H73" s="2" t="s">
        <v>630</v>
      </c>
      <c r="I73" s="2">
        <v>0</v>
      </c>
    </row>
    <row r="74" spans="1:9">
      <c r="A74" s="2" t="s">
        <v>255</v>
      </c>
      <c r="B74" s="2" t="s">
        <v>632</v>
      </c>
      <c r="C74" s="2"/>
      <c r="D74" s="2"/>
      <c r="E74" s="2"/>
      <c r="F74" s="2"/>
      <c r="G74" s="2"/>
      <c r="H74" s="2" t="s">
        <v>630</v>
      </c>
      <c r="I74" s="2">
        <v>0</v>
      </c>
    </row>
    <row r="75" spans="1:9">
      <c r="A75" s="2" t="s">
        <v>257</v>
      </c>
      <c r="B75" s="2" t="s">
        <v>633</v>
      </c>
      <c r="C75" s="2"/>
      <c r="D75" s="2"/>
      <c r="E75" s="2"/>
      <c r="F75" s="2"/>
      <c r="G75" s="2"/>
      <c r="H75" s="2" t="s">
        <v>630</v>
      </c>
      <c r="I75" s="2">
        <v>0</v>
      </c>
    </row>
    <row r="76" spans="1:9">
      <c r="A76" s="2" t="s">
        <v>259</v>
      </c>
      <c r="B76" s="2" t="s">
        <v>634</v>
      </c>
      <c r="C76" s="2"/>
      <c r="D76" s="2"/>
      <c r="E76" s="2"/>
      <c r="F76" s="2"/>
      <c r="G76" s="2"/>
      <c r="H76" s="2" t="s">
        <v>630</v>
      </c>
      <c r="I76" s="2">
        <v>0</v>
      </c>
    </row>
    <row r="77" spans="1:9">
      <c r="A77" s="2" t="s">
        <v>261</v>
      </c>
      <c r="B77" s="2" t="s">
        <v>635</v>
      </c>
      <c r="C77" s="2"/>
      <c r="D77" s="2"/>
      <c r="E77" s="2"/>
      <c r="F77" s="2"/>
      <c r="G77" s="2"/>
      <c r="H77" s="2" t="s">
        <v>630</v>
      </c>
      <c r="I77" s="2">
        <v>0</v>
      </c>
    </row>
    <row r="78" spans="1:9">
      <c r="A78" s="2" t="s">
        <v>263</v>
      </c>
      <c r="B78" s="2" t="s">
        <v>636</v>
      </c>
      <c r="C78" s="2"/>
      <c r="D78" s="2"/>
      <c r="E78" s="2"/>
      <c r="F78" s="2"/>
      <c r="G78" s="2"/>
      <c r="H78" s="2" t="s">
        <v>630</v>
      </c>
      <c r="I78" s="2">
        <v>0</v>
      </c>
    </row>
    <row r="79" spans="1:9">
      <c r="A79" s="2" t="s">
        <v>265</v>
      </c>
      <c r="B79" s="2" t="s">
        <v>637</v>
      </c>
      <c r="C79" s="2"/>
      <c r="D79" s="2"/>
      <c r="E79" s="2"/>
      <c r="F79" s="2"/>
      <c r="G79" s="2"/>
      <c r="H79" s="2" t="s">
        <v>630</v>
      </c>
      <c r="I79" s="2">
        <v>0</v>
      </c>
    </row>
  </sheetData>
  <dataValidations count="1">
    <dataValidation type="list" sqref="C2:C79" xr:uid="{00000000-0002-0000-0700-000000000000}">
      <formula1>"Ja,Nej,Ikke målbart"</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workbookViewId="0">
      <pane ySplit="1" topLeftCell="A2" activePane="bottomLeft" state="frozen"/>
      <selection pane="bottomLeft"/>
    </sheetView>
  </sheetViews>
  <sheetFormatPr defaultRowHeight="14.25"/>
  <cols>
    <col min="1" max="1" width="10" customWidth="1"/>
    <col min="2" max="2" width="15" customWidth="1"/>
    <col min="3" max="3" width="26" customWidth="1"/>
    <col min="4" max="4" width="95" customWidth="1"/>
    <col min="5" max="5" width="62" customWidth="1"/>
    <col min="6" max="6" width="34" customWidth="1"/>
    <col min="7" max="7" width="91" customWidth="1"/>
    <col min="8" max="8" width="16" customWidth="1"/>
  </cols>
  <sheetData>
    <row r="1" spans="1:8" ht="33" customHeight="1">
      <c r="A1" s="5" t="s">
        <v>75</v>
      </c>
      <c r="B1" s="5" t="s">
        <v>1076</v>
      </c>
      <c r="C1" s="5" t="s">
        <v>1077</v>
      </c>
      <c r="D1" s="5" t="s">
        <v>1078</v>
      </c>
      <c r="E1" s="5" t="s">
        <v>1079</v>
      </c>
      <c r="F1" s="5" t="s">
        <v>1080</v>
      </c>
      <c r="G1" s="5" t="s">
        <v>1081</v>
      </c>
      <c r="H1" s="5" t="s">
        <v>3</v>
      </c>
    </row>
    <row r="2" spans="1:8" ht="28.5">
      <c r="A2" s="2" t="s">
        <v>1082</v>
      </c>
      <c r="B2" s="2" t="s">
        <v>303</v>
      </c>
      <c r="C2" s="2" t="s">
        <v>1083</v>
      </c>
      <c r="D2" s="2" t="s">
        <v>1084</v>
      </c>
      <c r="E2" s="2" t="s">
        <v>1085</v>
      </c>
      <c r="F2" s="2" t="s">
        <v>1086</v>
      </c>
      <c r="G2" s="2" t="s">
        <v>1087</v>
      </c>
      <c r="H2" s="2" t="s">
        <v>1088</v>
      </c>
    </row>
    <row r="3" spans="1:8">
      <c r="A3" s="2" t="s">
        <v>1089</v>
      </c>
      <c r="B3" s="2" t="s">
        <v>285</v>
      </c>
      <c r="C3" s="2" t="s">
        <v>1090</v>
      </c>
      <c r="D3" s="2" t="s">
        <v>1091</v>
      </c>
      <c r="E3" s="2" t="s">
        <v>1092</v>
      </c>
      <c r="F3" s="2" t="s">
        <v>1093</v>
      </c>
      <c r="G3" s="2" t="s">
        <v>1094</v>
      </c>
      <c r="H3" s="2" t="s">
        <v>1088</v>
      </c>
    </row>
    <row r="4" spans="1:8">
      <c r="A4" s="2" t="s">
        <v>1095</v>
      </c>
      <c r="B4" s="2" t="s">
        <v>285</v>
      </c>
      <c r="C4" s="2" t="s">
        <v>1096</v>
      </c>
      <c r="D4" s="2" t="s">
        <v>1097</v>
      </c>
      <c r="E4" s="2" t="s">
        <v>1098</v>
      </c>
      <c r="F4" s="2" t="s">
        <v>155</v>
      </c>
      <c r="G4" s="2" t="s">
        <v>1099</v>
      </c>
      <c r="H4" s="2" t="s">
        <v>1088</v>
      </c>
    </row>
    <row r="5" spans="1:8">
      <c r="A5" s="2" t="s">
        <v>1100</v>
      </c>
      <c r="B5" s="2" t="s">
        <v>285</v>
      </c>
      <c r="C5" s="2" t="s">
        <v>1101</v>
      </c>
      <c r="D5" s="2" t="s">
        <v>1102</v>
      </c>
      <c r="E5" s="2" t="s">
        <v>1103</v>
      </c>
      <c r="F5" s="2" t="s">
        <v>1093</v>
      </c>
      <c r="G5" s="2" t="s">
        <v>1104</v>
      </c>
      <c r="H5" s="2" t="s">
        <v>1088</v>
      </c>
    </row>
    <row r="6" spans="1:8">
      <c r="A6" s="2" t="s">
        <v>1105</v>
      </c>
      <c r="B6" s="2" t="s">
        <v>285</v>
      </c>
      <c r="C6" s="2" t="s">
        <v>1106</v>
      </c>
      <c r="D6" s="2" t="s">
        <v>1107</v>
      </c>
      <c r="E6" s="2" t="s">
        <v>1108</v>
      </c>
      <c r="F6" s="2" t="s">
        <v>1109</v>
      </c>
      <c r="G6" s="2" t="s">
        <v>1110</v>
      </c>
      <c r="H6" s="2" t="s">
        <v>1088</v>
      </c>
    </row>
    <row r="7" spans="1:8" ht="28.5">
      <c r="A7" s="2" t="s">
        <v>1111</v>
      </c>
      <c r="B7" s="2" t="s">
        <v>285</v>
      </c>
      <c r="C7" s="2" t="s">
        <v>1112</v>
      </c>
      <c r="D7" s="2" t="s">
        <v>1113</v>
      </c>
      <c r="E7" s="2" t="s">
        <v>1114</v>
      </c>
      <c r="F7" s="2" t="s">
        <v>1115</v>
      </c>
      <c r="G7" s="2" t="s">
        <v>1116</v>
      </c>
      <c r="H7" s="2" t="s">
        <v>1088</v>
      </c>
    </row>
    <row r="8" spans="1:8">
      <c r="A8" s="2" t="s">
        <v>1117</v>
      </c>
      <c r="B8" s="2" t="s">
        <v>285</v>
      </c>
      <c r="C8" s="2" t="s">
        <v>1118</v>
      </c>
      <c r="D8" s="2" t="s">
        <v>1119</v>
      </c>
      <c r="E8" s="2" t="s">
        <v>1120</v>
      </c>
      <c r="F8" s="2" t="s">
        <v>1121</v>
      </c>
      <c r="G8" s="2" t="s">
        <v>1122</v>
      </c>
      <c r="H8" s="2" t="s">
        <v>1088</v>
      </c>
    </row>
    <row r="9" spans="1:8">
      <c r="A9" s="2" t="s">
        <v>1123</v>
      </c>
      <c r="B9" s="2" t="s">
        <v>285</v>
      </c>
      <c r="C9" s="2" t="s">
        <v>1124</v>
      </c>
      <c r="D9" s="2" t="s">
        <v>1125</v>
      </c>
      <c r="E9" s="2" t="s">
        <v>1126</v>
      </c>
      <c r="F9" s="2" t="s">
        <v>1109</v>
      </c>
      <c r="G9" s="2" t="s">
        <v>1127</v>
      </c>
      <c r="H9" s="2" t="s">
        <v>1088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0"/>
  <sheetViews>
    <sheetView workbookViewId="0">
      <pane ySplit="1" topLeftCell="A2" activePane="bottomLeft" state="frozen"/>
      <selection pane="bottomLeft"/>
    </sheetView>
  </sheetViews>
  <sheetFormatPr defaultRowHeight="14.25"/>
  <cols>
    <col min="1" max="1" width="36" customWidth="1"/>
    <col min="2" max="2" width="115" customWidth="1"/>
  </cols>
  <sheetData>
    <row r="1" spans="1:2" ht="33" customHeight="1">
      <c r="A1" s="5" t="s">
        <v>1128</v>
      </c>
      <c r="B1" s="5" t="s">
        <v>1129</v>
      </c>
    </row>
    <row r="2" spans="1:2">
      <c r="A2" s="2" t="s">
        <v>1130</v>
      </c>
      <c r="B2" s="2" t="s">
        <v>1131</v>
      </c>
    </row>
    <row r="3" spans="1:2">
      <c r="A3" s="2" t="s">
        <v>78</v>
      </c>
      <c r="B3" s="2" t="s">
        <v>1132</v>
      </c>
    </row>
    <row r="4" spans="1:2">
      <c r="A4" s="2" t="s">
        <v>79</v>
      </c>
      <c r="B4" s="2" t="s">
        <v>1133</v>
      </c>
    </row>
    <row r="5" spans="1:2">
      <c r="A5" s="2" t="s">
        <v>1134</v>
      </c>
      <c r="B5" s="2" t="s">
        <v>1135</v>
      </c>
    </row>
    <row r="6" spans="1:2">
      <c r="A6" s="2" t="s">
        <v>1136</v>
      </c>
      <c r="B6" s="2" t="s">
        <v>1137</v>
      </c>
    </row>
    <row r="7" spans="1:2">
      <c r="A7" s="2" t="s">
        <v>1138</v>
      </c>
      <c r="B7" s="2" t="s">
        <v>1139</v>
      </c>
    </row>
    <row r="8" spans="1:2">
      <c r="A8" s="2" t="s">
        <v>1140</v>
      </c>
      <c r="B8" s="2" t="s">
        <v>1141</v>
      </c>
    </row>
    <row r="9" spans="1:2">
      <c r="A9" s="2" t="s">
        <v>1142</v>
      </c>
      <c r="B9" s="2" t="s">
        <v>1143</v>
      </c>
    </row>
    <row r="10" spans="1:2">
      <c r="A10" s="2" t="s">
        <v>1144</v>
      </c>
      <c r="B10" s="2" t="s">
        <v>1145</v>
      </c>
    </row>
    <row r="11" spans="1:2">
      <c r="A11" s="2" t="s">
        <v>1146</v>
      </c>
      <c r="B11" s="2" t="s">
        <v>1147</v>
      </c>
    </row>
    <row r="12" spans="1:2">
      <c r="A12" s="2" t="s">
        <v>1148</v>
      </c>
      <c r="B12" s="2" t="s">
        <v>1149</v>
      </c>
    </row>
    <row r="13" spans="1:2">
      <c r="A13" s="2" t="s">
        <v>1150</v>
      </c>
      <c r="B13" s="2" t="s">
        <v>1151</v>
      </c>
    </row>
    <row r="14" spans="1:2">
      <c r="A14" s="2" t="s">
        <v>1152</v>
      </c>
      <c r="B14" s="2" t="s">
        <v>1153</v>
      </c>
    </row>
    <row r="15" spans="1:2">
      <c r="A15" s="2" t="s">
        <v>1154</v>
      </c>
      <c r="B15" s="2" t="s">
        <v>1155</v>
      </c>
    </row>
    <row r="16" spans="1:2">
      <c r="A16" s="2" t="s">
        <v>1156</v>
      </c>
      <c r="B16" s="2" t="s">
        <v>1157</v>
      </c>
    </row>
    <row r="17" spans="1:2">
      <c r="A17" s="2" t="s">
        <v>1158</v>
      </c>
      <c r="B17" s="2" t="s">
        <v>1159</v>
      </c>
    </row>
    <row r="18" spans="1:2">
      <c r="A18" s="2" t="s">
        <v>1160</v>
      </c>
      <c r="B18" s="2" t="s">
        <v>1161</v>
      </c>
    </row>
    <row r="19" spans="1:2">
      <c r="A19" s="2" t="s">
        <v>1162</v>
      </c>
      <c r="B19" s="2" t="s">
        <v>1163</v>
      </c>
    </row>
    <row r="20" spans="1:2">
      <c r="A20" s="2" t="s">
        <v>1164</v>
      </c>
      <c r="B20" s="2" t="s">
        <v>1165</v>
      </c>
    </row>
    <row r="21" spans="1:2">
      <c r="A21" s="2" t="s">
        <v>1166</v>
      </c>
      <c r="B21" s="2" t="s">
        <v>1167</v>
      </c>
    </row>
    <row r="22" spans="1:2" ht="28.5">
      <c r="A22" s="2" t="s">
        <v>1168</v>
      </c>
      <c r="B22" s="2" t="s">
        <v>1169</v>
      </c>
    </row>
    <row r="23" spans="1:2">
      <c r="A23" t="s">
        <v>1170</v>
      </c>
      <c r="B23" t="s">
        <v>1171</v>
      </c>
    </row>
    <row r="24" spans="1:2">
      <c r="A24" t="s">
        <v>1172</v>
      </c>
      <c r="B24" t="s">
        <v>1173</v>
      </c>
    </row>
    <row r="25" spans="1:2">
      <c r="A25" t="s">
        <v>1174</v>
      </c>
      <c r="B25" t="s">
        <v>1175</v>
      </c>
    </row>
    <row r="26" spans="1:2">
      <c r="A26" t="s">
        <v>1176</v>
      </c>
      <c r="B26" t="s">
        <v>1177</v>
      </c>
    </row>
    <row r="27" spans="1:2">
      <c r="A27" t="s">
        <v>1178</v>
      </c>
      <c r="B27" t="s">
        <v>1179</v>
      </c>
    </row>
    <row r="28" spans="1:2">
      <c r="A28" t="s">
        <v>1180</v>
      </c>
      <c r="B28" t="s">
        <v>1181</v>
      </c>
    </row>
    <row r="29" spans="1:2">
      <c r="A29" t="s">
        <v>1168</v>
      </c>
      <c r="B29" t="s">
        <v>1182</v>
      </c>
    </row>
    <row r="30" spans="1:2">
      <c r="A30" t="s">
        <v>1183</v>
      </c>
      <c r="B30" t="s">
        <v>1184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workbookViewId="0">
      <pane ySplit="1" topLeftCell="A2" activePane="bottomLeft" state="frozen"/>
      <selection pane="bottomLeft"/>
    </sheetView>
  </sheetViews>
  <sheetFormatPr defaultRowHeight="14.25"/>
  <cols>
    <col min="1" max="1" width="37" customWidth="1"/>
    <col min="2" max="2" width="70" customWidth="1"/>
    <col min="3" max="4" width="15" customWidth="1"/>
  </cols>
  <sheetData>
    <row r="1" spans="1:4" ht="33" customHeight="1">
      <c r="A1" s="5" t="s">
        <v>76</v>
      </c>
      <c r="B1" s="5" t="s">
        <v>1185</v>
      </c>
      <c r="C1" s="5" t="s">
        <v>1186</v>
      </c>
      <c r="D1" s="5" t="s">
        <v>1187</v>
      </c>
    </row>
    <row r="2" spans="1:4">
      <c r="A2" s="2" t="s">
        <v>104</v>
      </c>
      <c r="B2" s="2" t="s">
        <v>1188</v>
      </c>
      <c r="C2" s="2">
        <f>COUNTIF('03 Testspørgsmål'!$C$2:$C$65,A2)</f>
        <v>24</v>
      </c>
      <c r="D2" s="3">
        <f>IFERROR(C2/'01 Overblik'!$B$6,0)</f>
        <v>0.375</v>
      </c>
    </row>
    <row r="3" spans="1:4">
      <c r="A3" s="2" t="s">
        <v>109</v>
      </c>
      <c r="B3" s="2" t="s">
        <v>1189</v>
      </c>
      <c r="C3" s="2">
        <f>COUNTIF('03 Testspørgsmål'!$C$2:$C$65,A3)</f>
        <v>12</v>
      </c>
      <c r="D3" s="3">
        <f>IFERROR(C3/'01 Overblik'!$B$6,0)</f>
        <v>0.1875</v>
      </c>
    </row>
    <row r="4" spans="1:4">
      <c r="A4" s="2" t="s">
        <v>89</v>
      </c>
      <c r="B4" s="2" t="s">
        <v>1190</v>
      </c>
      <c r="C4" s="2">
        <f>COUNTIF('03 Testspørgsmål'!$C$2:$C$65,A4)</f>
        <v>12</v>
      </c>
      <c r="D4" s="3">
        <f>IFERROR(C4/'01 Overblik'!$B$6,0)</f>
        <v>0.1875</v>
      </c>
    </row>
    <row r="5" spans="1:4">
      <c r="A5" s="2" t="s">
        <v>98</v>
      </c>
      <c r="B5" s="2" t="s">
        <v>1191</v>
      </c>
      <c r="C5" s="2">
        <f>COUNTIF('03 Testspørgsmål'!$C$2:$C$65,A5)</f>
        <v>8</v>
      </c>
      <c r="D5" s="3">
        <f>IFERROR(C5/'01 Overblik'!$B$6,0)</f>
        <v>0.125</v>
      </c>
    </row>
    <row r="6" spans="1:4">
      <c r="A6" s="2" t="s">
        <v>248</v>
      </c>
      <c r="B6" s="2" t="s">
        <v>1192</v>
      </c>
      <c r="C6" s="2">
        <f>COUNTIF('03 Testspørgsmål'!$C$2:$C$65,A6)</f>
        <v>8</v>
      </c>
      <c r="D6" s="3">
        <f>IFERROR(C6/'01 Overblik'!$B$6,0)</f>
        <v>0.125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
  <sheetViews>
    <sheetView workbookViewId="0">
      <pane ySplit="1" topLeftCell="A2" activePane="bottomLeft" state="frozen"/>
      <selection pane="bottomLeft"/>
    </sheetView>
  </sheetViews>
  <sheetFormatPr defaultRowHeight="14.25"/>
  <cols>
    <col min="1" max="1" width="15" customWidth="1"/>
    <col min="2" max="2" width="20" customWidth="1"/>
    <col min="3" max="3" width="25" customWidth="1"/>
    <col min="4" max="4" width="24" customWidth="1"/>
    <col min="5" max="5" width="57" customWidth="1"/>
    <col min="6" max="6" width="75" customWidth="1"/>
    <col min="7" max="7" width="30" customWidth="1"/>
    <col min="8" max="8" width="32" customWidth="1"/>
  </cols>
  <sheetData>
    <row r="1" spans="1:8" ht="33" customHeight="1">
      <c r="A1" s="5" t="s">
        <v>1</v>
      </c>
      <c r="B1" s="5" t="s">
        <v>1067</v>
      </c>
      <c r="C1" s="5" t="s">
        <v>75</v>
      </c>
      <c r="D1" s="5" t="s">
        <v>1193</v>
      </c>
      <c r="E1" s="5" t="s">
        <v>1194</v>
      </c>
      <c r="F1" s="5" t="s">
        <v>1195</v>
      </c>
      <c r="G1" s="5" t="s">
        <v>1196</v>
      </c>
      <c r="H1" s="5" t="s">
        <v>1197</v>
      </c>
    </row>
    <row r="2" spans="1:8">
      <c r="A2" s="2" t="s">
        <v>1198</v>
      </c>
      <c r="B2" s="2" t="s">
        <v>1199</v>
      </c>
      <c r="C2" s="2" t="s">
        <v>1200</v>
      </c>
      <c r="D2" s="2" t="s">
        <v>1201</v>
      </c>
      <c r="E2" s="2" t="s">
        <v>1202</v>
      </c>
      <c r="F2" s="2" t="s">
        <v>1203</v>
      </c>
      <c r="G2" s="2" t="s">
        <v>1204</v>
      </c>
      <c r="H2" s="2" t="s">
        <v>1205</v>
      </c>
    </row>
    <row r="3" spans="1:8">
      <c r="A3" s="2" t="s">
        <v>1198</v>
      </c>
      <c r="B3" s="2" t="s">
        <v>1199</v>
      </c>
      <c r="C3" s="2" t="s">
        <v>1206</v>
      </c>
      <c r="D3" s="2" t="s">
        <v>1207</v>
      </c>
      <c r="E3" s="2" t="s">
        <v>1208</v>
      </c>
      <c r="F3" s="2" t="s">
        <v>1209</v>
      </c>
      <c r="G3" s="2" t="s">
        <v>1210</v>
      </c>
      <c r="H3" s="2" t="s">
        <v>1205</v>
      </c>
    </row>
    <row r="4" spans="1:8">
      <c r="A4" t="s">
        <v>2</v>
      </c>
      <c r="B4" t="s">
        <v>1199</v>
      </c>
      <c r="C4" t="s">
        <v>1211</v>
      </c>
      <c r="D4" t="s">
        <v>81</v>
      </c>
      <c r="E4" t="s">
        <v>1212</v>
      </c>
      <c r="F4" t="s">
        <v>93</v>
      </c>
      <c r="G4" t="s">
        <v>1213</v>
      </c>
      <c r="H4" t="s">
        <v>1214</v>
      </c>
    </row>
    <row r="5" spans="1:8">
      <c r="A5" t="s">
        <v>2</v>
      </c>
      <c r="B5" t="s">
        <v>1199</v>
      </c>
      <c r="C5" t="s">
        <v>1211</v>
      </c>
      <c r="D5" t="s">
        <v>1207</v>
      </c>
      <c r="E5" t="s">
        <v>1215</v>
      </c>
      <c r="F5" t="s">
        <v>1216</v>
      </c>
      <c r="G5" t="s">
        <v>1217</v>
      </c>
      <c r="H5" t="s">
        <v>1218</v>
      </c>
    </row>
    <row r="6" spans="1:8">
      <c r="A6" t="s">
        <v>2</v>
      </c>
      <c r="B6" t="s">
        <v>1199</v>
      </c>
      <c r="C6" t="s">
        <v>1211</v>
      </c>
      <c r="D6" t="s">
        <v>1219</v>
      </c>
      <c r="E6" t="s">
        <v>1220</v>
      </c>
      <c r="F6" t="s">
        <v>1221</v>
      </c>
      <c r="G6" t="s">
        <v>1222</v>
      </c>
      <c r="H6" t="s">
        <v>1223</v>
      </c>
    </row>
    <row r="7" spans="1:8">
      <c r="A7" t="s">
        <v>2</v>
      </c>
      <c r="B7" t="s">
        <v>1199</v>
      </c>
      <c r="C7" t="s">
        <v>1211</v>
      </c>
      <c r="D7" t="s">
        <v>1224</v>
      </c>
      <c r="E7" t="s">
        <v>1225</v>
      </c>
      <c r="F7" t="s">
        <v>1226</v>
      </c>
      <c r="G7" t="s">
        <v>1227</v>
      </c>
      <c r="H7" t="s">
        <v>1228</v>
      </c>
    </row>
    <row r="8" spans="1:8">
      <c r="A8" t="s">
        <v>2</v>
      </c>
      <c r="B8" t="s">
        <v>1199</v>
      </c>
      <c r="C8" t="s">
        <v>1200</v>
      </c>
      <c r="D8" t="s">
        <v>1229</v>
      </c>
      <c r="E8" t="s">
        <v>1230</v>
      </c>
      <c r="F8" t="s">
        <v>1231</v>
      </c>
      <c r="G8" t="s">
        <v>1232</v>
      </c>
      <c r="H8" t="s">
        <v>1233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workbookViewId="0">
      <pane ySplit="1" topLeftCell="A2" activePane="bottomLeft" state="frozen"/>
      <selection pane="bottomLeft"/>
    </sheetView>
  </sheetViews>
  <sheetFormatPr defaultRowHeight="14.25"/>
  <cols>
    <col min="1" max="1" width="15" customWidth="1"/>
    <col min="2" max="2" width="58" customWidth="1"/>
    <col min="3" max="4" width="20" customWidth="1"/>
    <col min="5" max="5" width="32" customWidth="1"/>
    <col min="6" max="6" width="22" customWidth="1"/>
  </cols>
  <sheetData>
    <row r="1" spans="1:6" ht="33" customHeight="1">
      <c r="A1" s="5" t="s">
        <v>1234</v>
      </c>
      <c r="B1" s="5" t="s">
        <v>1235</v>
      </c>
      <c r="C1" s="5" t="s">
        <v>1236</v>
      </c>
      <c r="D1" s="5" t="s">
        <v>1185</v>
      </c>
      <c r="E1" s="5" t="s">
        <v>1237</v>
      </c>
      <c r="F1" s="7" t="s">
        <v>3</v>
      </c>
    </row>
    <row r="2" spans="1:6">
      <c r="A2" s="2" t="s">
        <v>1238</v>
      </c>
      <c r="B2" s="2" t="s">
        <v>1239</v>
      </c>
      <c r="C2" s="2">
        <f>COUNTA('03 Testspørgsmål'!A2:A65)</f>
        <v>64</v>
      </c>
      <c r="D2" s="2">
        <v>64</v>
      </c>
      <c r="E2" s="2" t="s">
        <v>1240</v>
      </c>
      <c r="F2" t="str">
        <f t="shared" ref="F2:F13" si="0">IF(C2=D2,"OK","AFVENTER")</f>
        <v>OK</v>
      </c>
    </row>
    <row r="3" spans="1:6">
      <c r="A3" t="s">
        <v>1241</v>
      </c>
      <c r="B3" t="s">
        <v>10</v>
      </c>
      <c r="C3">
        <f>COUNTIF('03 Testspørgsmål'!H2:H65,"GODKENDT")</f>
        <v>64</v>
      </c>
      <c r="D3">
        <v>64</v>
      </c>
      <c r="E3" t="s">
        <v>1242</v>
      </c>
      <c r="F3" t="str">
        <f t="shared" si="0"/>
        <v>OK</v>
      </c>
    </row>
    <row r="4" spans="1:6">
      <c r="A4" t="s">
        <v>1243</v>
      </c>
      <c r="B4" t="s">
        <v>1244</v>
      </c>
      <c r="C4">
        <f>COUNTA('04 Gold Standard'!A2:A65)</f>
        <v>64</v>
      </c>
      <c r="D4">
        <v>64</v>
      </c>
      <c r="E4" t="s">
        <v>1240</v>
      </c>
      <c r="F4" t="str">
        <f t="shared" si="0"/>
        <v>OK</v>
      </c>
    </row>
    <row r="5" spans="1:6">
      <c r="A5" t="s">
        <v>1245</v>
      </c>
      <c r="B5" t="s">
        <v>1246</v>
      </c>
      <c r="C5">
        <f>COUNTBLANK('04 Gold Standard'!F2:F65)</f>
        <v>0</v>
      </c>
      <c r="D5">
        <v>0</v>
      </c>
      <c r="E5" t="s">
        <v>1240</v>
      </c>
      <c r="F5" t="str">
        <f t="shared" si="0"/>
        <v>OK</v>
      </c>
    </row>
    <row r="6" spans="1:6">
      <c r="A6" t="s">
        <v>1247</v>
      </c>
      <c r="B6" t="s">
        <v>1248</v>
      </c>
      <c r="C6">
        <f>COUNTIF('04 Gold Standard'!F2:F65,"IMPORTÉR UÆNDRET FRA TIDLIGERE FACITARK")</f>
        <v>0</v>
      </c>
      <c r="D6">
        <v>0</v>
      </c>
      <c r="E6" t="s">
        <v>1240</v>
      </c>
      <c r="F6" t="str">
        <f t="shared" si="0"/>
        <v>OK</v>
      </c>
    </row>
    <row r="7" spans="1:6">
      <c r="A7" t="s">
        <v>1249</v>
      </c>
      <c r="B7" t="s">
        <v>12</v>
      </c>
      <c r="C7">
        <f>COUNTA('05 Gold Evidence'!B2:B79)</f>
        <v>78</v>
      </c>
      <c r="D7">
        <v>78</v>
      </c>
      <c r="E7" t="s">
        <v>1240</v>
      </c>
      <c r="F7" t="str">
        <f t="shared" si="0"/>
        <v>OK</v>
      </c>
    </row>
    <row r="8" spans="1:6">
      <c r="A8" t="s">
        <v>1250</v>
      </c>
      <c r="B8" t="s">
        <v>1251</v>
      </c>
      <c r="C8">
        <f>COUNTIF('05 Gold Evidence'!E2:E79,"IMPORTÉR/VERIFICÉR GOLD PASSAGE")</f>
        <v>0</v>
      </c>
      <c r="D8">
        <v>0</v>
      </c>
      <c r="E8" t="s">
        <v>1240</v>
      </c>
      <c r="F8" t="str">
        <f t="shared" si="0"/>
        <v>OK</v>
      </c>
    </row>
    <row r="9" spans="1:6">
      <c r="A9" t="s">
        <v>1252</v>
      </c>
      <c r="B9" t="s">
        <v>13</v>
      </c>
      <c r="C9">
        <f>COUNTA('06 Gold Claims'!B2:B224)</f>
        <v>223</v>
      </c>
      <c r="D9">
        <v>223</v>
      </c>
      <c r="E9" t="s">
        <v>1240</v>
      </c>
      <c r="F9" t="str">
        <f t="shared" si="0"/>
        <v>OK</v>
      </c>
    </row>
    <row r="10" spans="1:6">
      <c r="A10" t="s">
        <v>1253</v>
      </c>
      <c r="B10" t="s">
        <v>1254</v>
      </c>
      <c r="C10">
        <f>COUNTIF('03 Testspørgsmål'!L2:L65,"&gt;=2")</f>
        <v>14</v>
      </c>
      <c r="D10">
        <v>14</v>
      </c>
      <c r="E10" t="s">
        <v>1240</v>
      </c>
      <c r="F10" t="str">
        <f t="shared" si="0"/>
        <v>OK</v>
      </c>
    </row>
    <row r="11" spans="1:6">
      <c r="A11" t="s">
        <v>1255</v>
      </c>
      <c r="B11" t="s">
        <v>1256</v>
      </c>
      <c r="C11">
        <f>COUNTIF('04 Gold Standard'!M2:M65,"Godkendt")</f>
        <v>0</v>
      </c>
      <c r="D11">
        <v>64</v>
      </c>
      <c r="E11" t="s">
        <v>1257</v>
      </c>
      <c r="F11" t="str">
        <f t="shared" si="0"/>
        <v>AFVENTER</v>
      </c>
    </row>
    <row r="12" spans="1:6">
      <c r="A12" t="s">
        <v>1258</v>
      </c>
      <c r="B12" t="s">
        <v>1259</v>
      </c>
      <c r="C12">
        <f>COUNTIF('05 Gold Evidence'!H2:H79,"AFVENTER_PASSAGEVERIFIKATION")+COUNTIF('05 Gold Evidence'!H2:H79,"AFVENTER_KORPUSKONTROL")</f>
        <v>78</v>
      </c>
      <c r="D12">
        <v>0</v>
      </c>
      <c r="E12" t="s">
        <v>1257</v>
      </c>
      <c r="F12" t="str">
        <f t="shared" si="0"/>
        <v>AFVENTER</v>
      </c>
    </row>
    <row r="13" spans="1:6">
      <c r="A13" t="s">
        <v>1260</v>
      </c>
      <c r="B13" t="s">
        <v>1261</v>
      </c>
      <c r="C13">
        <f>COUNTIF('07 Testresultater'!R2:R65,"BESTÅET")+COUNTIF('07 Testresultater'!R2:R65,"IKKE BESTÅET")+COUNTIF('07 Testresultater'!R2:R65,"KRITISK FEJL")</f>
        <v>0</v>
      </c>
      <c r="D13">
        <v>64</v>
      </c>
      <c r="E13" t="s">
        <v>1262</v>
      </c>
      <c r="F13" t="str">
        <f t="shared" si="0"/>
        <v>AFVENTER</v>
      </c>
    </row>
    <row r="14" spans="1:6">
      <c r="A14" t="s">
        <v>1263</v>
      </c>
      <c r="B14" t="s">
        <v>22</v>
      </c>
      <c r="C14">
        <f>COUNTIF('07 Testresultater'!R2:R65,"KRITISK FEJL")</f>
        <v>0</v>
      </c>
      <c r="D14">
        <v>0</v>
      </c>
      <c r="E14" t="s">
        <v>1262</v>
      </c>
      <c r="F14" t="str">
        <f>IF('01 Overblik'!B17=0,"IKKE MÅLT",IF(C14=D14,"OK","KRITISKE FEJL"))</f>
        <v>IKKE MÅLT</v>
      </c>
    </row>
    <row r="16" spans="1:6">
      <c r="A16" t="s">
        <v>1264</v>
      </c>
      <c r="B16" t="s">
        <v>1265</v>
      </c>
    </row>
    <row r="17" spans="1:2">
      <c r="A17" t="s">
        <v>1266</v>
      </c>
      <c r="B17" t="s">
        <v>1267</v>
      </c>
    </row>
    <row r="18" spans="1:2">
      <c r="A18" t="s">
        <v>1268</v>
      </c>
      <c r="B18" t="s">
        <v>1269</v>
      </c>
    </row>
  </sheetData>
  <conditionalFormatting sqref="F2:F14">
    <cfRule type="expression" dxfId="1" priority="1">
      <formula>F2="AFVENTER"</formula>
    </cfRule>
    <cfRule type="expression" dxfId="0" priority="2">
      <formula>F2="OK"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6"/>
  <sheetViews>
    <sheetView workbookViewId="0"/>
  </sheetViews>
  <sheetFormatPr defaultRowHeight="14.25"/>
  <cols>
    <col min="1" max="1" width="12" customWidth="1"/>
    <col min="2" max="2" width="28" customWidth="1"/>
    <col min="3" max="3" width="88" customWidth="1"/>
    <col min="4" max="4" width="80" customWidth="1"/>
    <col min="5" max="5" width="77" customWidth="1"/>
    <col min="6" max="6" width="26" customWidth="1"/>
    <col min="7" max="7" width="18" customWidth="1"/>
    <col min="8" max="8" width="34" customWidth="1"/>
  </cols>
  <sheetData>
    <row r="1" spans="1:8">
      <c r="A1" t="s">
        <v>1270</v>
      </c>
    </row>
    <row r="2" spans="1:8">
      <c r="A2" t="s">
        <v>1271</v>
      </c>
    </row>
    <row r="4" spans="1:8" ht="33" customHeight="1">
      <c r="A4" s="7" t="s">
        <v>75</v>
      </c>
      <c r="B4" s="7" t="s">
        <v>1272</v>
      </c>
      <c r="C4" s="7" t="s">
        <v>1273</v>
      </c>
      <c r="D4" s="7" t="s">
        <v>1274</v>
      </c>
      <c r="E4" s="7" t="s">
        <v>1275</v>
      </c>
      <c r="F4" s="7" t="s">
        <v>1276</v>
      </c>
      <c r="G4" s="7" t="s">
        <v>1277</v>
      </c>
      <c r="H4" s="7" t="s">
        <v>3</v>
      </c>
    </row>
    <row r="5" spans="1:8">
      <c r="A5" t="s">
        <v>1278</v>
      </c>
      <c r="B5" t="s">
        <v>1279</v>
      </c>
      <c r="C5" t="s">
        <v>1280</v>
      </c>
      <c r="D5" t="s">
        <v>1281</v>
      </c>
      <c r="E5" t="s">
        <v>1282</v>
      </c>
      <c r="F5" t="s">
        <v>1283</v>
      </c>
      <c r="G5" t="s">
        <v>303</v>
      </c>
      <c r="H5" t="s">
        <v>1284</v>
      </c>
    </row>
    <row r="6" spans="1:8">
      <c r="A6" t="s">
        <v>1285</v>
      </c>
      <c r="B6" t="s">
        <v>1286</v>
      </c>
      <c r="C6" t="s">
        <v>1287</v>
      </c>
      <c r="D6" t="s">
        <v>1288</v>
      </c>
      <c r="E6" t="s">
        <v>1289</v>
      </c>
      <c r="F6" t="s">
        <v>1290</v>
      </c>
      <c r="G6" t="s">
        <v>303</v>
      </c>
      <c r="H6" t="s">
        <v>1291</v>
      </c>
    </row>
    <row r="7" spans="1:8">
      <c r="A7" t="s">
        <v>1292</v>
      </c>
      <c r="B7" t="s">
        <v>1293</v>
      </c>
      <c r="C7" t="s">
        <v>1294</v>
      </c>
      <c r="D7" t="s">
        <v>1295</v>
      </c>
      <c r="E7" t="s">
        <v>1296</v>
      </c>
      <c r="F7" t="s">
        <v>1290</v>
      </c>
      <c r="G7" t="s">
        <v>303</v>
      </c>
      <c r="H7" t="s">
        <v>1291</v>
      </c>
    </row>
    <row r="8" spans="1:8">
      <c r="A8" t="s">
        <v>1297</v>
      </c>
      <c r="B8" t="s">
        <v>1298</v>
      </c>
      <c r="C8" t="s">
        <v>1299</v>
      </c>
      <c r="D8" t="s">
        <v>1300</v>
      </c>
      <c r="E8" t="s">
        <v>1301</v>
      </c>
      <c r="F8" t="s">
        <v>1290</v>
      </c>
      <c r="G8" t="s">
        <v>303</v>
      </c>
      <c r="H8" t="s">
        <v>1291</v>
      </c>
    </row>
    <row r="9" spans="1:8">
      <c r="A9" t="s">
        <v>1302</v>
      </c>
      <c r="B9" t="s">
        <v>1303</v>
      </c>
      <c r="C9" t="s">
        <v>1304</v>
      </c>
      <c r="D9" t="s">
        <v>1305</v>
      </c>
      <c r="E9" t="s">
        <v>1306</v>
      </c>
      <c r="F9" t="s">
        <v>1290</v>
      </c>
      <c r="G9" t="s">
        <v>418</v>
      </c>
      <c r="H9" t="s">
        <v>1291</v>
      </c>
    </row>
    <row r="10" spans="1:8">
      <c r="A10" t="s">
        <v>1307</v>
      </c>
      <c r="B10" t="s">
        <v>1308</v>
      </c>
      <c r="C10" t="s">
        <v>1309</v>
      </c>
      <c r="D10" t="s">
        <v>1310</v>
      </c>
      <c r="E10" t="s">
        <v>1311</v>
      </c>
      <c r="F10" t="s">
        <v>1290</v>
      </c>
      <c r="G10" t="s">
        <v>303</v>
      </c>
      <c r="H10" t="s">
        <v>1291</v>
      </c>
    </row>
    <row r="11" spans="1:8">
      <c r="A11" t="s">
        <v>1312</v>
      </c>
      <c r="B11" t="s">
        <v>1313</v>
      </c>
      <c r="C11" t="s">
        <v>1314</v>
      </c>
      <c r="D11" t="s">
        <v>1315</v>
      </c>
      <c r="E11" t="s">
        <v>1316</v>
      </c>
      <c r="F11" t="s">
        <v>1290</v>
      </c>
      <c r="G11" t="s">
        <v>303</v>
      </c>
      <c r="H11" t="s">
        <v>1291</v>
      </c>
    </row>
    <row r="12" spans="1:8">
      <c r="A12" t="s">
        <v>1317</v>
      </c>
      <c r="B12" t="s">
        <v>1318</v>
      </c>
      <c r="C12" t="s">
        <v>1319</v>
      </c>
      <c r="D12" t="s">
        <v>1320</v>
      </c>
      <c r="E12" t="s">
        <v>1321</v>
      </c>
      <c r="F12" t="s">
        <v>1290</v>
      </c>
      <c r="G12" t="s">
        <v>418</v>
      </c>
      <c r="H12" t="s">
        <v>1291</v>
      </c>
    </row>
    <row r="13" spans="1:8">
      <c r="A13" t="s">
        <v>1322</v>
      </c>
      <c r="B13" t="s">
        <v>1323</v>
      </c>
      <c r="C13" t="s">
        <v>1324</v>
      </c>
      <c r="D13" t="s">
        <v>1325</v>
      </c>
      <c r="E13" t="s">
        <v>1326</v>
      </c>
      <c r="F13" t="s">
        <v>1290</v>
      </c>
      <c r="G13" t="s">
        <v>418</v>
      </c>
      <c r="H13" t="s">
        <v>1291</v>
      </c>
    </row>
    <row r="14" spans="1:8">
      <c r="A14" t="s">
        <v>1327</v>
      </c>
      <c r="B14" t="s">
        <v>1328</v>
      </c>
      <c r="C14" t="s">
        <v>1329</v>
      </c>
      <c r="D14" t="s">
        <v>1330</v>
      </c>
      <c r="E14" t="s">
        <v>1331</v>
      </c>
      <c r="F14" t="s">
        <v>1290</v>
      </c>
      <c r="G14" t="s">
        <v>303</v>
      </c>
      <c r="H14" t="s">
        <v>1291</v>
      </c>
    </row>
    <row r="15" spans="1:8">
      <c r="A15" t="s">
        <v>1332</v>
      </c>
      <c r="B15" t="s">
        <v>1333</v>
      </c>
      <c r="C15" t="s">
        <v>1334</v>
      </c>
      <c r="D15" t="s">
        <v>1335</v>
      </c>
      <c r="E15" t="s">
        <v>1336</v>
      </c>
      <c r="F15" t="s">
        <v>1290</v>
      </c>
      <c r="G15" t="s">
        <v>303</v>
      </c>
      <c r="H15" t="s">
        <v>1291</v>
      </c>
    </row>
    <row r="16" spans="1:8">
      <c r="A16" t="s">
        <v>1337</v>
      </c>
      <c r="B16" t="s">
        <v>1338</v>
      </c>
      <c r="C16" t="s">
        <v>1339</v>
      </c>
      <c r="D16" t="s">
        <v>1340</v>
      </c>
      <c r="E16" t="s">
        <v>1341</v>
      </c>
      <c r="F16" t="s">
        <v>1290</v>
      </c>
      <c r="G16" t="s">
        <v>285</v>
      </c>
      <c r="H16" t="s">
        <v>1291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1"/>
  <sheetViews>
    <sheetView workbookViewId="0"/>
  </sheetViews>
  <sheetFormatPr defaultRowHeight="14.25"/>
  <cols>
    <col min="1" max="1" width="14" customWidth="1"/>
    <col min="2" max="2" width="28" customWidth="1"/>
    <col min="3" max="4" width="82" customWidth="1"/>
    <col min="5" max="5" width="34" customWidth="1"/>
  </cols>
  <sheetData>
    <row r="1" spans="1:5">
      <c r="A1" t="s">
        <v>1342</v>
      </c>
    </row>
    <row r="2" spans="1:5">
      <c r="A2" t="s">
        <v>1343</v>
      </c>
    </row>
    <row r="4" spans="1:5" ht="33" customHeight="1">
      <c r="A4" s="7" t="s">
        <v>75</v>
      </c>
      <c r="B4" s="7" t="s">
        <v>1344</v>
      </c>
      <c r="C4" s="7" t="s">
        <v>1345</v>
      </c>
      <c r="D4" s="7" t="s">
        <v>1346</v>
      </c>
      <c r="E4" s="7" t="s">
        <v>1347</v>
      </c>
    </row>
    <row r="5" spans="1:5">
      <c r="A5" t="s">
        <v>88</v>
      </c>
      <c r="B5" t="s">
        <v>89</v>
      </c>
      <c r="C5" t="s">
        <v>1348</v>
      </c>
      <c r="D5" t="s">
        <v>90</v>
      </c>
      <c r="E5" t="s">
        <v>1349</v>
      </c>
    </row>
    <row r="6" spans="1:5">
      <c r="A6" t="s">
        <v>97</v>
      </c>
      <c r="B6" t="s">
        <v>98</v>
      </c>
      <c r="C6" t="s">
        <v>1350</v>
      </c>
      <c r="D6" t="s">
        <v>99</v>
      </c>
      <c r="E6" t="s">
        <v>1351</v>
      </c>
    </row>
    <row r="7" spans="1:5">
      <c r="A7" t="s">
        <v>108</v>
      </c>
      <c r="B7" t="s">
        <v>109</v>
      </c>
      <c r="C7" t="s">
        <v>1352</v>
      </c>
      <c r="D7" t="s">
        <v>110</v>
      </c>
      <c r="E7" t="s">
        <v>1351</v>
      </c>
    </row>
    <row r="8" spans="1:5">
      <c r="A8" t="s">
        <v>113</v>
      </c>
      <c r="B8" t="s">
        <v>89</v>
      </c>
      <c r="C8" t="s">
        <v>1353</v>
      </c>
      <c r="D8" t="s">
        <v>114</v>
      </c>
      <c r="E8" t="s">
        <v>1349</v>
      </c>
    </row>
    <row r="9" spans="1:5">
      <c r="A9" t="s">
        <v>118</v>
      </c>
      <c r="B9" t="s">
        <v>98</v>
      </c>
      <c r="C9" t="s">
        <v>1354</v>
      </c>
      <c r="D9" t="s">
        <v>119</v>
      </c>
      <c r="E9" t="s">
        <v>1351</v>
      </c>
    </row>
    <row r="10" spans="1:5">
      <c r="A10" t="s">
        <v>121</v>
      </c>
      <c r="B10" t="s">
        <v>89</v>
      </c>
      <c r="C10" t="s">
        <v>1355</v>
      </c>
      <c r="D10" t="s">
        <v>122</v>
      </c>
      <c r="E10" t="s">
        <v>1349</v>
      </c>
    </row>
    <row r="11" spans="1:5">
      <c r="A11" t="s">
        <v>124</v>
      </c>
      <c r="B11" t="s">
        <v>109</v>
      </c>
      <c r="C11" t="s">
        <v>1356</v>
      </c>
      <c r="D11" t="s">
        <v>125</v>
      </c>
      <c r="E11" t="s">
        <v>1351</v>
      </c>
    </row>
    <row r="12" spans="1:5">
      <c r="A12" t="s">
        <v>127</v>
      </c>
      <c r="B12" t="s">
        <v>98</v>
      </c>
      <c r="C12" t="s">
        <v>1357</v>
      </c>
      <c r="D12" t="s">
        <v>128</v>
      </c>
      <c r="E12" t="s">
        <v>1351</v>
      </c>
    </row>
    <row r="13" spans="1:5">
      <c r="A13" t="s">
        <v>130</v>
      </c>
      <c r="B13" t="s">
        <v>89</v>
      </c>
      <c r="C13" t="s">
        <v>1358</v>
      </c>
      <c r="D13" t="s">
        <v>131</v>
      </c>
      <c r="E13" t="s">
        <v>1349</v>
      </c>
    </row>
    <row r="14" spans="1:5">
      <c r="A14" t="s">
        <v>133</v>
      </c>
      <c r="B14" t="s">
        <v>109</v>
      </c>
      <c r="C14" t="s">
        <v>1359</v>
      </c>
      <c r="D14" t="s">
        <v>134</v>
      </c>
      <c r="E14" t="s">
        <v>1351</v>
      </c>
    </row>
    <row r="15" spans="1:5">
      <c r="A15" t="s">
        <v>138</v>
      </c>
      <c r="B15" t="s">
        <v>89</v>
      </c>
      <c r="C15" t="s">
        <v>1360</v>
      </c>
      <c r="D15" t="s">
        <v>139</v>
      </c>
      <c r="E15" t="s">
        <v>1349</v>
      </c>
    </row>
    <row r="16" spans="1:5">
      <c r="A16" t="s">
        <v>143</v>
      </c>
      <c r="B16" t="s">
        <v>98</v>
      </c>
      <c r="C16" t="s">
        <v>1361</v>
      </c>
      <c r="D16" t="s">
        <v>144</v>
      </c>
      <c r="E16" t="s">
        <v>1351</v>
      </c>
    </row>
    <row r="17" spans="1:5">
      <c r="A17" t="s">
        <v>146</v>
      </c>
      <c r="B17" t="s">
        <v>109</v>
      </c>
      <c r="C17" t="s">
        <v>1362</v>
      </c>
      <c r="D17" t="s">
        <v>147</v>
      </c>
      <c r="E17" t="s">
        <v>1351</v>
      </c>
    </row>
    <row r="18" spans="1:5">
      <c r="A18" t="s">
        <v>149</v>
      </c>
      <c r="B18" t="s">
        <v>89</v>
      </c>
      <c r="C18" t="s">
        <v>1363</v>
      </c>
      <c r="D18" t="s">
        <v>150</v>
      </c>
      <c r="E18" t="s">
        <v>1349</v>
      </c>
    </row>
    <row r="19" spans="1:5">
      <c r="A19" t="s">
        <v>152</v>
      </c>
      <c r="B19" t="s">
        <v>109</v>
      </c>
      <c r="C19" t="s">
        <v>1364</v>
      </c>
      <c r="D19" t="s">
        <v>153</v>
      </c>
      <c r="E19" t="s">
        <v>1351</v>
      </c>
    </row>
    <row r="20" spans="1:5">
      <c r="A20" t="s">
        <v>155</v>
      </c>
      <c r="B20" t="s">
        <v>98</v>
      </c>
      <c r="C20" t="s">
        <v>1365</v>
      </c>
      <c r="D20" t="s">
        <v>156</v>
      </c>
      <c r="E20" t="s">
        <v>1351</v>
      </c>
    </row>
    <row r="21" spans="1:5">
      <c r="A21" t="s">
        <v>159</v>
      </c>
      <c r="B21" t="s">
        <v>89</v>
      </c>
      <c r="C21" t="s">
        <v>1366</v>
      </c>
      <c r="D21" t="s">
        <v>160</v>
      </c>
      <c r="E21" t="s">
        <v>1349</v>
      </c>
    </row>
    <row r="22" spans="1:5">
      <c r="A22" t="s">
        <v>162</v>
      </c>
      <c r="B22" t="s">
        <v>89</v>
      </c>
      <c r="C22" t="s">
        <v>1367</v>
      </c>
      <c r="D22" t="s">
        <v>163</v>
      </c>
      <c r="E22" t="s">
        <v>1349</v>
      </c>
    </row>
    <row r="23" spans="1:5">
      <c r="A23" t="s">
        <v>167</v>
      </c>
      <c r="B23" t="s">
        <v>109</v>
      </c>
      <c r="C23" t="s">
        <v>1368</v>
      </c>
      <c r="D23" t="s">
        <v>168</v>
      </c>
      <c r="E23" t="s">
        <v>1351</v>
      </c>
    </row>
    <row r="24" spans="1:5">
      <c r="A24" t="s">
        <v>170</v>
      </c>
      <c r="B24" t="s">
        <v>98</v>
      </c>
      <c r="C24" t="s">
        <v>1369</v>
      </c>
      <c r="D24" t="s">
        <v>171</v>
      </c>
      <c r="E24" t="s">
        <v>1351</v>
      </c>
    </row>
    <row r="25" spans="1:5">
      <c r="A25" t="s">
        <v>175</v>
      </c>
      <c r="B25" t="s">
        <v>89</v>
      </c>
      <c r="C25" t="s">
        <v>1370</v>
      </c>
      <c r="D25" t="s">
        <v>176</v>
      </c>
      <c r="E25" t="s">
        <v>1349</v>
      </c>
    </row>
    <row r="26" spans="1:5">
      <c r="A26" t="s">
        <v>178</v>
      </c>
      <c r="B26" t="s">
        <v>109</v>
      </c>
      <c r="C26" t="s">
        <v>1371</v>
      </c>
      <c r="D26" t="s">
        <v>179</v>
      </c>
      <c r="E26" t="s">
        <v>1351</v>
      </c>
    </row>
    <row r="27" spans="1:5">
      <c r="A27" t="s">
        <v>181</v>
      </c>
      <c r="B27" t="s">
        <v>109</v>
      </c>
      <c r="C27" t="s">
        <v>1372</v>
      </c>
      <c r="D27" t="s">
        <v>182</v>
      </c>
      <c r="E27" t="s">
        <v>1351</v>
      </c>
    </row>
    <row r="28" spans="1:5">
      <c r="A28" t="s">
        <v>188</v>
      </c>
      <c r="B28" t="s">
        <v>89</v>
      </c>
      <c r="C28" t="s">
        <v>1373</v>
      </c>
      <c r="D28" t="s">
        <v>189</v>
      </c>
      <c r="E28" t="s">
        <v>1349</v>
      </c>
    </row>
    <row r="29" spans="1:5">
      <c r="A29" t="s">
        <v>195</v>
      </c>
      <c r="B29" t="s">
        <v>109</v>
      </c>
      <c r="C29" t="s">
        <v>1374</v>
      </c>
      <c r="D29" t="s">
        <v>196</v>
      </c>
      <c r="E29" t="s">
        <v>1351</v>
      </c>
    </row>
    <row r="30" spans="1:5">
      <c r="A30" t="s">
        <v>202</v>
      </c>
      <c r="B30" t="s">
        <v>89</v>
      </c>
      <c r="C30" t="s">
        <v>1375</v>
      </c>
      <c r="D30" t="s">
        <v>203</v>
      </c>
      <c r="E30" t="s">
        <v>1349</v>
      </c>
    </row>
    <row r="31" spans="1:5">
      <c r="A31" t="s">
        <v>207</v>
      </c>
      <c r="B31" t="s">
        <v>109</v>
      </c>
      <c r="C31" t="s">
        <v>1376</v>
      </c>
      <c r="D31" t="s">
        <v>208</v>
      </c>
      <c r="E31" t="s">
        <v>1351</v>
      </c>
    </row>
    <row r="32" spans="1:5">
      <c r="A32" t="s">
        <v>212</v>
      </c>
      <c r="B32" t="s">
        <v>98</v>
      </c>
      <c r="C32" t="s">
        <v>1377</v>
      </c>
      <c r="D32" t="s">
        <v>213</v>
      </c>
      <c r="E32" t="s">
        <v>1351</v>
      </c>
    </row>
    <row r="33" spans="1:5">
      <c r="A33" t="s">
        <v>219</v>
      </c>
      <c r="B33" t="s">
        <v>109</v>
      </c>
      <c r="C33" t="s">
        <v>1378</v>
      </c>
      <c r="D33" t="s">
        <v>220</v>
      </c>
      <c r="E33" t="s">
        <v>1351</v>
      </c>
    </row>
    <row r="34" spans="1:5">
      <c r="A34" t="s">
        <v>232</v>
      </c>
      <c r="B34" t="s">
        <v>109</v>
      </c>
      <c r="C34" t="s">
        <v>1379</v>
      </c>
      <c r="D34" t="s">
        <v>233</v>
      </c>
      <c r="E34" t="s">
        <v>1351</v>
      </c>
    </row>
    <row r="35" spans="1:5">
      <c r="A35" t="s">
        <v>235</v>
      </c>
      <c r="B35" t="s">
        <v>98</v>
      </c>
      <c r="C35" t="s">
        <v>1380</v>
      </c>
      <c r="D35" t="s">
        <v>236</v>
      </c>
      <c r="E35" t="s">
        <v>1351</v>
      </c>
    </row>
    <row r="36" spans="1:5">
      <c r="A36" t="s">
        <v>244</v>
      </c>
      <c r="B36" t="s">
        <v>89</v>
      </c>
      <c r="C36" t="s">
        <v>1381</v>
      </c>
      <c r="D36" t="s">
        <v>245</v>
      </c>
      <c r="E36" t="s">
        <v>1349</v>
      </c>
    </row>
    <row r="39" spans="1:5">
      <c r="A39" t="s">
        <v>1</v>
      </c>
      <c r="B39" t="s">
        <v>1347</v>
      </c>
      <c r="C39" t="s">
        <v>1382</v>
      </c>
      <c r="D39" t="s">
        <v>3</v>
      </c>
      <c r="E39" t="s">
        <v>1383</v>
      </c>
    </row>
    <row r="40" spans="1:5">
      <c r="A40" t="s">
        <v>1384</v>
      </c>
      <c r="B40" t="s">
        <v>1385</v>
      </c>
      <c r="C40" t="s">
        <v>1386</v>
      </c>
      <c r="D40" t="s">
        <v>1387</v>
      </c>
      <c r="E40" t="s">
        <v>1388</v>
      </c>
    </row>
    <row r="41" spans="1:5">
      <c r="A41" t="s">
        <v>1389</v>
      </c>
      <c r="B41" t="s">
        <v>1390</v>
      </c>
      <c r="C41" t="s">
        <v>1391</v>
      </c>
      <c r="D41" t="s">
        <v>1392</v>
      </c>
      <c r="E41" t="s">
        <v>1393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9"/>
  <sheetViews>
    <sheetView workbookViewId="0">
      <pane ySplit="1" topLeftCell="A2" activePane="bottomLeft" state="frozen"/>
      <selection pane="bottomLeft"/>
    </sheetView>
  </sheetViews>
  <sheetFormatPr defaultRowHeight="14.25"/>
  <cols>
    <col min="1" max="1" width="48" customWidth="1"/>
    <col min="2" max="2" width="23" customWidth="1"/>
    <col min="3" max="4" width="18" customWidth="1"/>
    <col min="5" max="5" width="19" customWidth="1"/>
    <col min="6" max="6" width="18" customWidth="1"/>
  </cols>
  <sheetData>
    <row r="1" spans="1:6" ht="38.1" customHeight="1">
      <c r="A1" s="6" t="s">
        <v>1394</v>
      </c>
      <c r="B1" s="6"/>
      <c r="C1" s="6"/>
      <c r="D1" s="6"/>
      <c r="E1" s="6"/>
      <c r="F1" s="6"/>
    </row>
    <row r="2" spans="1:6">
      <c r="A2" t="s">
        <v>1395</v>
      </c>
    </row>
    <row r="4" spans="1:6" ht="33" customHeight="1">
      <c r="A4" s="7" t="s">
        <v>76</v>
      </c>
      <c r="B4" s="7" t="s">
        <v>1396</v>
      </c>
      <c r="C4" s="7" t="s">
        <v>1397</v>
      </c>
      <c r="D4" s="7" t="s">
        <v>1398</v>
      </c>
      <c r="E4" s="7" t="s">
        <v>1399</v>
      </c>
      <c r="F4" s="7" t="s">
        <v>22</v>
      </c>
    </row>
    <row r="5" spans="1:6">
      <c r="A5" t="s">
        <v>104</v>
      </c>
      <c r="B5">
        <f>COUNTIF('03 Testspørgsmål'!$C$2:$C$65,A5)</f>
        <v>24</v>
      </c>
      <c r="C5">
        <f>COUNTIFS('03 Testspørgsmål'!$C$2:$C$65,A5,'07 Testresultater'!$R$2:$R$65,"BESTÅET")+COUNTIFS('03 Testspørgsmål'!$C$2:$C$65,A5,'07 Testresultater'!$R$2:$R$65,"IKKE BESTÅET")+COUNTIFS('03 Testspørgsmål'!$C$2:$C$65,A5,'07 Testresultater'!$R$2:$R$65,"KRITISK FEJL")</f>
        <v>0</v>
      </c>
      <c r="D5">
        <f>COUNTIFS('03 Testspørgsmål'!$C$2:$C$65,A5,'07 Testresultater'!$R$2:$R$65,"BESTÅET")</f>
        <v>0</v>
      </c>
      <c r="E5">
        <f>COUNTIFS('03 Testspørgsmål'!$C$2:$C$65,A5,'07 Testresultater'!$R$2:$R$65,"IKKE BESTÅET")</f>
        <v>0</v>
      </c>
      <c r="F5">
        <f>COUNTIFS('03 Testspørgsmål'!$C$2:$C$65,A5,'07 Testresultater'!$R$2:$R$65,"KRITISK FEJL")</f>
        <v>0</v>
      </c>
    </row>
    <row r="6" spans="1:6">
      <c r="A6" t="s">
        <v>109</v>
      </c>
      <c r="B6">
        <f>COUNTIF('03 Testspørgsmål'!$C$2:$C$65,A6)</f>
        <v>12</v>
      </c>
      <c r="C6">
        <f>COUNTIFS('03 Testspørgsmål'!$C$2:$C$65,A6,'07 Testresultater'!$R$2:$R$65,"BESTÅET")+COUNTIFS('03 Testspørgsmål'!$C$2:$C$65,A6,'07 Testresultater'!$R$2:$R$65,"IKKE BESTÅET")+COUNTIFS('03 Testspørgsmål'!$C$2:$C$65,A6,'07 Testresultater'!$R$2:$R$65,"KRITISK FEJL")</f>
        <v>0</v>
      </c>
      <c r="D6">
        <f>COUNTIFS('03 Testspørgsmål'!$C$2:$C$65,A6,'07 Testresultater'!$R$2:$R$65,"BESTÅET")</f>
        <v>0</v>
      </c>
      <c r="E6">
        <f>COUNTIFS('03 Testspørgsmål'!$C$2:$C$65,A6,'07 Testresultater'!$R$2:$R$65,"IKKE BESTÅET")</f>
        <v>0</v>
      </c>
      <c r="F6">
        <f>COUNTIFS('03 Testspørgsmål'!$C$2:$C$65,A6,'07 Testresultater'!$R$2:$R$65,"KRITISK FEJL")</f>
        <v>0</v>
      </c>
    </row>
    <row r="7" spans="1:6">
      <c r="A7" t="s">
        <v>89</v>
      </c>
      <c r="B7">
        <f>COUNTIF('03 Testspørgsmål'!$C$2:$C$65,A7)</f>
        <v>12</v>
      </c>
      <c r="C7">
        <f>COUNTIFS('03 Testspørgsmål'!$C$2:$C$65,A7,'07 Testresultater'!$R$2:$R$65,"BESTÅET")+COUNTIFS('03 Testspørgsmål'!$C$2:$C$65,A7,'07 Testresultater'!$R$2:$R$65,"IKKE BESTÅET")+COUNTIFS('03 Testspørgsmål'!$C$2:$C$65,A7,'07 Testresultater'!$R$2:$R$65,"KRITISK FEJL")</f>
        <v>0</v>
      </c>
      <c r="D7">
        <f>COUNTIFS('03 Testspørgsmål'!$C$2:$C$65,A7,'07 Testresultater'!$R$2:$R$65,"BESTÅET")</f>
        <v>0</v>
      </c>
      <c r="E7">
        <f>COUNTIFS('03 Testspørgsmål'!$C$2:$C$65,A7,'07 Testresultater'!$R$2:$R$65,"IKKE BESTÅET")</f>
        <v>0</v>
      </c>
      <c r="F7">
        <f>COUNTIFS('03 Testspørgsmål'!$C$2:$C$65,A7,'07 Testresultater'!$R$2:$R$65,"KRITISK FEJL")</f>
        <v>0</v>
      </c>
    </row>
    <row r="8" spans="1:6">
      <c r="A8" t="s">
        <v>98</v>
      </c>
      <c r="B8">
        <f>COUNTIF('03 Testspørgsmål'!$C$2:$C$65,A8)</f>
        <v>8</v>
      </c>
      <c r="C8">
        <f>COUNTIFS('03 Testspørgsmål'!$C$2:$C$65,A8,'07 Testresultater'!$R$2:$R$65,"BESTÅET")+COUNTIFS('03 Testspørgsmål'!$C$2:$C$65,A8,'07 Testresultater'!$R$2:$R$65,"IKKE BESTÅET")+COUNTIFS('03 Testspørgsmål'!$C$2:$C$65,A8,'07 Testresultater'!$R$2:$R$65,"KRITISK FEJL")</f>
        <v>0</v>
      </c>
      <c r="D8">
        <f>COUNTIFS('03 Testspørgsmål'!$C$2:$C$65,A8,'07 Testresultater'!$R$2:$R$65,"BESTÅET")</f>
        <v>0</v>
      </c>
      <c r="E8">
        <f>COUNTIFS('03 Testspørgsmål'!$C$2:$C$65,A8,'07 Testresultater'!$R$2:$R$65,"IKKE BESTÅET")</f>
        <v>0</v>
      </c>
      <c r="F8">
        <f>COUNTIFS('03 Testspørgsmål'!$C$2:$C$65,A8,'07 Testresultater'!$R$2:$R$65,"KRITISK FEJL")</f>
        <v>0</v>
      </c>
    </row>
    <row r="9" spans="1:6">
      <c r="A9" t="s">
        <v>248</v>
      </c>
      <c r="B9">
        <f>COUNTIF('03 Testspørgsmål'!$C$2:$C$65,A9)</f>
        <v>8</v>
      </c>
      <c r="C9">
        <f>COUNTIFS('03 Testspørgsmål'!$C$2:$C$65,A9,'07 Testresultater'!$R$2:$R$65,"BESTÅET")+COUNTIFS('03 Testspørgsmål'!$C$2:$C$65,A9,'07 Testresultater'!$R$2:$R$65,"IKKE BESTÅET")+COUNTIFS('03 Testspørgsmål'!$C$2:$C$65,A9,'07 Testresultater'!$R$2:$R$65,"KRITISK FEJL")</f>
        <v>0</v>
      </c>
      <c r="D9">
        <f>COUNTIFS('03 Testspørgsmål'!$C$2:$C$65,A9,'07 Testresultater'!$R$2:$R$65,"BESTÅET")</f>
        <v>0</v>
      </c>
      <c r="E9">
        <f>COUNTIFS('03 Testspørgsmål'!$C$2:$C$65,A9,'07 Testresultater'!$R$2:$R$65,"IKKE BESTÅET")</f>
        <v>0</v>
      </c>
      <c r="F9">
        <f>COUNTIFS('03 Testspørgsmål'!$C$2:$C$65,A9,'07 Testresultater'!$R$2:$R$65,"KRITISK FEJL")</f>
        <v>0</v>
      </c>
    </row>
    <row r="10" spans="1:6" ht="15">
      <c r="A10" s="9" t="s">
        <v>1400</v>
      </c>
      <c r="B10" s="9">
        <f>SUM(B5:B9)</f>
        <v>64</v>
      </c>
      <c r="C10" s="9">
        <f>SUM(C5:C9)</f>
        <v>0</v>
      </c>
      <c r="D10" s="9">
        <f>SUM(D5:D9)</f>
        <v>0</v>
      </c>
      <c r="E10" s="9">
        <f>SUM(E5:E9)</f>
        <v>0</v>
      </c>
      <c r="F10" s="9">
        <f>SUM(F5:F9)</f>
        <v>0</v>
      </c>
    </row>
    <row r="13" spans="1:6" ht="15">
      <c r="A13" s="10" t="s">
        <v>1401</v>
      </c>
      <c r="B13" s="10" t="s">
        <v>1402</v>
      </c>
    </row>
    <row r="14" spans="1:6">
      <c r="A14" t="s">
        <v>1403</v>
      </c>
      <c r="B14">
        <f>'01 Overblik'!B9</f>
        <v>64</v>
      </c>
    </row>
    <row r="15" spans="1:6">
      <c r="A15" t="s">
        <v>1404</v>
      </c>
      <c r="B15">
        <f>'01 Overblik'!B10</f>
        <v>0</v>
      </c>
    </row>
    <row r="16" spans="1:6">
      <c r="A16" t="s">
        <v>1405</v>
      </c>
      <c r="B16" s="4">
        <f>IFERROR(D10/C10,0)</f>
        <v>0</v>
      </c>
    </row>
    <row r="17" spans="1:2">
      <c r="A17" t="s">
        <v>1406</v>
      </c>
      <c r="B17">
        <f>COUNTIF('07 Testresultater'!R2:R65,"IKKE TESTET")</f>
        <v>64</v>
      </c>
    </row>
    <row r="18" spans="1:2">
      <c r="A18" t="s">
        <v>1407</v>
      </c>
      <c r="B18">
        <f>COUNTIF('07 Testresultater'!R2:R65,"MANGLER BEDØMMELSE")</f>
        <v>0</v>
      </c>
    </row>
    <row r="19" spans="1:2">
      <c r="A19" t="s">
        <v>1408</v>
      </c>
      <c r="B19">
        <f>COUNTIF('09 Kildeproblemer'!H2:H9,"Åben")</f>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16</vt:i4>
      </vt:variant>
    </vt:vector>
  </HeadingPairs>
  <TitlesOfParts>
    <vt:vector size="16" baseType="lpstr">
      <vt:lpstr>01 Overblik</vt:lpstr>
      <vt:lpstr>02 Dokumentkortlægning</vt:lpstr>
      <vt:lpstr>03 Testspørgsmål</vt:lpstr>
      <vt:lpstr>04 Gold Standard</vt:lpstr>
      <vt:lpstr>05 Gold Evidence</vt:lpstr>
      <vt:lpstr>06 Gold Claims</vt:lpstr>
      <vt:lpstr>07 Testresultater</vt:lpstr>
      <vt:lpstr>08 Retrieval-resultater</vt:lpstr>
      <vt:lpstr>09 Kildeproblemer</vt:lpstr>
      <vt:lpstr>10 Metode og scoring</vt:lpstr>
      <vt:lpstr>11 Kategorier</vt:lpstr>
      <vt:lpstr>12 Ændringslog</vt:lpstr>
      <vt:lpstr>13 QA-kontrol</vt:lpstr>
      <vt:lpstr>14 Teknisk testspor</vt:lpstr>
      <vt:lpstr>15 Historik fra V2</vt:lpstr>
      <vt:lpstr>16 Evalueringsdashboard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Friis</cp:lastModifiedBy>
  <dcterms:modified xsi:type="dcterms:W3CDTF">2026-10-22T10:59:29Z</dcterms:modified>
</cp:coreProperties>
</file>